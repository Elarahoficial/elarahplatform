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drawings/drawing_enunciado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Respostas" sheetId="1" state="visible" r:id="rId1"/>
    <sheet xmlns:r="http://schemas.openxmlformats.org/officeDocument/2006/relationships" name="Média móvel ponderada" sheetId="2" state="visible" r:id="rId2"/>
    <sheet xmlns:r="http://schemas.openxmlformats.org/officeDocument/2006/relationships" name="Gráfico" sheetId="3" state="visible" r:id="rId3"/>
  </sheets>
  <definedNames>
    <definedName name="anscount" hidden="1">1</definedName>
    <definedName name="limcount" hidden="1">1</definedName>
    <definedName name="sencount" hidden="1">1</definedName>
    <definedName name="solver_adj" localSheetId="1" hidden="1">'Média móvel ponderada'!$D$23:$D$34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100</definedName>
    <definedName name="solver_lhs1" localSheetId="1" hidden="1">'Média móvel ponderada'!$C$31:$C$34</definedName>
    <definedName name="solver_lhs2" localSheetId="1" hidden="1">'Média móvel ponderada'!$C$35</definedName>
    <definedName name="solver_lhs3" localSheetId="1" hidden="1">'Média móvel ponderada'!$C$34</definedName>
    <definedName name="solver_lhs4" localSheetId="1" hidden="1">'Média móvel ponderada'!$C$34</definedName>
    <definedName name="solver_lhs5" localSheetId="1" hidden="1">'Média móvel ponderada'!$C$35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'Média móvel ponderada'!$I$98</definedName>
    <definedName name="solver_pre" localSheetId="1" hidden="1">0.00000001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3</definedName>
    <definedName name="solver_rel4" localSheetId="1" hidden="1">1</definedName>
    <definedName name="solver_rel5" localSheetId="1" hidden="1">2</definedName>
    <definedName name="solver_rhs1" localSheetId="1" hidden="1">0</definedName>
    <definedName name="solver_rhs2" localSheetId="1" hidden="1">1</definedName>
    <definedName name="solver_rhs3" localSheetId="1" hidden="1">0</definedName>
    <definedName name="solver_rhs4" localSheetId="1" hidden="1">1</definedName>
    <definedName name="solver_rhs5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100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 calcMode="autoNoTable" fullCalcOnLoad="1" iterate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#,##0.0"/>
  </numFmts>
  <fonts count="16">
    <font>
      <name val="Arial"/>
      <sz val="10"/>
    </font>
    <font>
      <name val="Calibri"/>
      <family val="2"/>
      <sz val="12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FF000000"/>
      <sz val="14"/>
    </font>
    <font>
      <name val="Arial"/>
      <i val="1"/>
      <color rgb="FF000000"/>
      <sz val="11"/>
    </font>
    <font>
      <name val="Arial"/>
      <b val="1"/>
      <color rgb="FF000000"/>
      <sz val="11"/>
    </font>
    <font>
      <name val="Arial"/>
      <i val="1"/>
      <color rgb="FF0000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i val="1"/>
      <color rgb="FF000000"/>
      <sz val="9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3" fillId="2" borderId="2" applyAlignment="1" pivotButton="0" quotePrefix="0" xfId="0">
      <alignment horizontal="center"/>
    </xf>
    <xf numFmtId="2" fontId="3" fillId="2" borderId="3" applyAlignment="1" pivotButton="0" quotePrefix="0" xfId="0">
      <alignment horizontal="center"/>
    </xf>
    <xf numFmtId="2" fontId="3" fillId="2" borderId="4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2" fontId="3" fillId="2" borderId="5" applyAlignment="1" pivotButton="0" quotePrefix="0" xfId="0">
      <alignment horizontal="center"/>
    </xf>
    <xf numFmtId="2" fontId="3" fillId="2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2" fillId="4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164" fontId="13" fillId="0" borderId="7" applyAlignment="1" pivotButton="0" quotePrefix="0" xfId="0">
      <alignment horizontal="center" vertical="center"/>
    </xf>
    <xf numFmtId="164" fontId="12" fillId="4" borderId="7" applyAlignment="1" pivotButton="0" quotePrefix="0" xfId="0">
      <alignment horizontal="center" vertical="center"/>
    </xf>
    <xf numFmtId="1" fontId="13" fillId="0" borderId="7" applyAlignment="1" pivotButton="0" quotePrefix="0" xfId="0">
      <alignment horizontal="center" vertical="center"/>
    </xf>
    <xf numFmtId="166" fontId="13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1" fontId="12" fillId="5" borderId="7" applyAlignment="1" pivotButton="0" quotePrefix="0" xfId="0">
      <alignment horizontal="center" vertical="center"/>
    </xf>
    <xf numFmtId="166" fontId="12" fillId="5" borderId="7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0" fillId="0" borderId="1" pivotButton="0" quotePrefix="0" xfId="0"/>
    <xf numFmtId="164" fontId="3" fillId="2" borderId="4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4" fontId="3" fillId="2" borderId="5" applyAlignment="1" pivotButton="0" quotePrefix="0" xfId="0">
      <alignment horizontal="center"/>
    </xf>
    <xf numFmtId="164" fontId="3" fillId="2" borderId="6" applyAlignment="1" pivotButton="0" quotePrefix="0" xfId="0">
      <alignment horizontal="center"/>
    </xf>
    <xf numFmtId="1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chartsheet" Target="/xl/chartsheets/sheet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 xml:space="preserve"> Vendas reais x Previsões</a:t>
            </a:r>
            <a:endParaRPr lang="pt-B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lineChart>
        <grouping val="standard"/>
        <varyColors val="0"/>
        <ser>
          <idx val="0"/>
          <order val="0"/>
          <tx>
            <v>Vendas</v>
          </tx>
          <spPr>
            <a:ln xmlns:a="http://schemas.openxmlformats.org/drawingml/2006/main" w="3175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'Média móvel ponderada'!$B$37:$B$108</f>
              <numCache>
                <formatCode>0</formatCode>
                <ptCount val="72"/>
                <pt idx="0">
                  <v>458.0367548864155</v>
                </pt>
                <pt idx="1">
                  <v>444.6949549420884</v>
                </pt>
                <pt idx="2">
                  <v>581.6232811342767</v>
                </pt>
                <pt idx="3">
                  <v>588.3543135599891</v>
                </pt>
                <pt idx="4">
                  <v>517.6502638533758</v>
                </pt>
                <pt idx="5">
                  <v>429.7634464813131</v>
                </pt>
                <pt idx="6">
                  <v>540.5747146948689</v>
                </pt>
                <pt idx="7">
                  <v>523.6865100523387</v>
                </pt>
                <pt idx="8">
                  <v>483.7198037298032</v>
                </pt>
                <pt idx="9">
                  <v>522.9568385356378</v>
                </pt>
                <pt idx="10">
                  <v>537.0147203264746</v>
                </pt>
                <pt idx="11">
                  <v>540.1443580112651</v>
                </pt>
                <pt idx="12">
                  <v>328.8879448757469</v>
                </pt>
                <pt idx="13">
                  <v>450.0707891105695</v>
                </pt>
                <pt idx="14">
                  <v>557.0478268459481</v>
                </pt>
                <pt idx="15">
                  <v>553.7866486244999</v>
                </pt>
                <pt idx="16">
                  <v>487.5109330432858</v>
                </pt>
                <pt idx="17">
                  <v>586.6298567391635</v>
                </pt>
                <pt idx="18">
                  <v>504.1247873126285</v>
                </pt>
                <pt idx="19">
                  <v>473.8996775729111</v>
                </pt>
                <pt idx="20">
                  <v>668.596879228488</v>
                </pt>
                <pt idx="21">
                  <v>671.2380119609583</v>
                </pt>
                <pt idx="22">
                  <v>535.0875471197036</v>
                </pt>
                <pt idx="23">
                  <v>461.0088045324321</v>
                </pt>
                <pt idx="24">
                  <v>617.2416528779603</v>
                </pt>
                <pt idx="25">
                  <v>582.2057968935621</v>
                </pt>
                <pt idx="26">
                  <v>488.2929004119051</v>
                </pt>
                <pt idx="27">
                  <v>594.0369707523419</v>
                </pt>
                <pt idx="28">
                  <v>484.8339354838628</v>
                </pt>
                <pt idx="29">
                  <v>536.6349140377474</v>
                </pt>
                <pt idx="30">
                  <v>656.1050285890193</v>
                </pt>
                <pt idx="31">
                  <v>619.7011026482874</v>
                </pt>
                <pt idx="32">
                  <v>712.4955008354261</v>
                </pt>
                <pt idx="33">
                  <v>437.4764893531113</v>
                </pt>
                <pt idx="34">
                  <v>741.1017158994667</v>
                </pt>
                <pt idx="35">
                  <v>666.6538861188012</v>
                </pt>
                <pt idx="36">
                  <v>599.0863464527295</v>
                </pt>
                <pt idx="37">
                  <v>704.5726953306631</v>
                </pt>
                <pt idx="38">
                  <v>464.2031290051041</v>
                </pt>
                <pt idx="39">
                  <v>554.6277729826998</v>
                </pt>
                <pt idx="40">
                  <v>768.6292961638529</v>
                </pt>
                <pt idx="41">
                  <v>655.6158021552692</v>
                </pt>
                <pt idx="42">
                  <v>585.6425408239791</v>
                </pt>
                <pt idx="43">
                  <v>754.3676080290662</v>
                </pt>
                <pt idx="44">
                  <v>739.2183777897757</v>
                </pt>
                <pt idx="45">
                  <v>704.8170088497901</v>
                </pt>
                <pt idx="46">
                  <v>654.3451623569471</v>
                </pt>
                <pt idx="47">
                  <v>713.8448696711447</v>
                </pt>
                <pt idx="48">
                  <v>711.0742915936551</v>
                </pt>
                <pt idx="49">
                  <v>712.7343667167822</v>
                </pt>
                <pt idx="50">
                  <v>807.2168282213235</v>
                </pt>
                <pt idx="51">
                  <v>656.423674237619</v>
                </pt>
                <pt idx="52">
                  <v>730.914624903957</v>
                </pt>
                <pt idx="53">
                  <v>640.0700560022776</v>
                </pt>
                <pt idx="54">
                  <v>772.4803354482505</v>
                </pt>
                <pt idx="55">
                  <v>692.9492519087588</v>
                </pt>
                <pt idx="56">
                  <v>743.081492757133</v>
                </pt>
                <pt idx="57">
                  <v>606.6821566489475</v>
                </pt>
                <pt idx="58">
                  <v>725.1732220017825</v>
                </pt>
                <pt idx="59">
                  <v>747.7513072798505</v>
                </pt>
              </numCache>
            </numRef>
          </val>
          <smooth val="0"/>
        </ser>
        <ser>
          <idx val="1"/>
          <order val="1"/>
          <tx>
            <strRef>
              <f>'Média móvel ponderada'!$C$13</f>
              <strCache>
                <ptCount val="1"/>
                <pt idx="0">
                  <v>Média móvel ?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'Média móvel ponderada'!$C$37:$C$108</f>
              <numCache>
                <formatCode>0.0</formatCode>
                <ptCount val="72"/>
                <pt idx="4">
                  <v>498.2093007521054</v>
                </pt>
                <pt idx="5">
                  <v>530.7807925197455</v>
                </pt>
                <pt idx="6">
                  <v>540.5743166472849</v>
                </pt>
                <pt idx="7">
                  <v>531.8586086312267</v>
                </pt>
                <pt idx="8">
                  <v>488.1703951895427</v>
                </pt>
                <pt idx="9">
                  <v>495.6664600216543</v>
                </pt>
                <pt idx="10">
                  <v>523.4321367691327</v>
                </pt>
                <pt idx="11">
                  <v>511.5396104575321</v>
                </pt>
                <pt idx="12">
                  <v>518.2665358093207</v>
                </pt>
                <pt idx="13">
                  <v>483.8644434262588</v>
                </pt>
                <pt idx="14">
                  <v>493.677647818536</v>
                </pt>
                <pt idx="15">
                  <v>453.2981287505157</v>
                </pt>
                <pt idx="16">
                  <v>454.9438703749832</v>
                </pt>
                <pt idx="17">
                  <v>511.6771525522376</v>
                </pt>
                <pt idx="18">
                  <v>554.9482636222083</v>
                </pt>
                <pt idx="19">
                  <v>520.3630949198463</v>
                </pt>
                <pt idx="20">
                  <v>523.9744744984903</v>
                </pt>
                <pt idx="21">
                  <v>561.8937169786825</v>
                </pt>
                <pt idx="22">
                  <v>551.3181857418124</v>
                </pt>
                <pt idx="23">
                  <v>585.3378258675878</v>
                </pt>
                <pt idx="24">
                  <v>604.7277760871989</v>
                </pt>
                <pt idx="25">
                  <v>582.3914977973918</v>
                </pt>
                <pt idx="26">
                  <v>527.457813376561</v>
                </pt>
                <pt idx="27">
                  <v>540.9760050506136</v>
                </pt>
                <pt idx="28">
                  <v>583.6155077168947</v>
                </pt>
                <pt idx="29">
                  <v>524.4281760309469</v>
                </pt>
                <pt idx="30">
                  <v>539.8132897728233</v>
                </pt>
                <pt idx="31">
                  <v>560.6633419745921</v>
                </pt>
                <pt idx="32">
                  <v>556.3917582103132</v>
                </pt>
                <pt idx="33">
                  <v>633.7608875588609</v>
                </pt>
                <pt idx="34">
                  <v>596.3529749603335</v>
                </pt>
                <pt idx="35">
                  <v>663.3662106047564</v>
                </pt>
                <pt idx="36">
                  <v>599.8449089341339</v>
                </pt>
                <pt idx="37">
                  <v>618.1320927816657</v>
                </pt>
                <pt idx="38">
                  <v>687.7586479960825</v>
                </pt>
                <pt idx="39">
                  <v>596.7723766470782</v>
                </pt>
                <pt idx="40">
                  <v>613.3239311533489</v>
                </pt>
                <pt idx="41">
                  <v>611.0666113569939</v>
                </pt>
                <pt idx="42">
                  <v>579.2103557006599</v>
                </pt>
                <pt idx="43">
                  <v>655.2273311983394</v>
                </pt>
                <pt idx="44">
                  <v>701.2225766525793</v>
                </pt>
                <pt idx="45">
                  <v>660.1719314414438</v>
                </pt>
                <pt idx="46">
                  <v>696.0477638406654</v>
                </pt>
                <pt idx="47">
                  <v>719.0122505114969</v>
                </pt>
                <pt idx="48">
                  <v>710.3422998239096</v>
                </pt>
                <pt idx="49">
                  <v>688.0828939237065</v>
                </pt>
                <pt idx="50">
                  <v>697.4858009713195</v>
                </pt>
                <pt idx="51">
                  <v>734.9935337748377</v>
                </pt>
                <pt idx="52">
                  <v>709.6012854204631</v>
                </pt>
                <pt idx="53">
                  <v>746.7156394756369</v>
                </pt>
                <pt idx="54">
                  <v>700.9933870828738</v>
                </pt>
                <pt idx="55">
                  <v>710.7430118394603</v>
                </pt>
                <pt idx="56">
                  <v>691.9077923516186</v>
                </pt>
                <pt idx="57">
                  <v>721.2673670287963</v>
                </pt>
                <pt idx="58">
                  <v>699.1226165876969</v>
                </pt>
                <pt idx="59">
                  <v>709.9487664072614</v>
                </pt>
                <pt idx="60">
                  <v>690.1053220221702</v>
                </pt>
                <pt idx="61">
                  <v>690.1053220221702</v>
                </pt>
                <pt idx="62">
                  <v>690.1053220221702</v>
                </pt>
                <pt idx="63">
                  <v>690.1053220221702</v>
                </pt>
                <pt idx="64">
                  <v>690.1053220221702</v>
                </pt>
                <pt idx="65">
                  <v>690.1053220221702</v>
                </pt>
                <pt idx="66">
                  <v>690.1053220221702</v>
                </pt>
                <pt idx="67">
                  <v>690.1053220221702</v>
                </pt>
                <pt idx="68">
                  <v>690.1053220221702</v>
                </pt>
                <pt idx="69">
                  <v>690.1053220221702</v>
                </pt>
                <pt idx="70">
                  <v>690.1053220221702</v>
                </pt>
                <pt idx="71">
                  <v>690.1053220221702</v>
                </pt>
              </numCache>
            </numRef>
          </val>
          <smooth val="0"/>
        </ser>
        <ser>
          <idx val="2"/>
          <order val="2"/>
          <tx>
            <strRef>
              <f>'Média móvel ponderada'!$D$13</f>
              <strCache>
                <ptCount val="1"/>
                <pt idx="0">
                  <v>Média móvel ?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'Média móvel ponderada'!$D$37:$D$108</f>
              <numCache>
                <formatCode>General</formatCode>
                <ptCount val="72"/>
                <pt idx="12">
                  <formatCode>0.0</formatCode>
                  <v>538.8080140214608</v>
                </pt>
                <pt idx="13">
                  <formatCode>0.0</formatCode>
                  <v>534.9897812049069</v>
                </pt>
                <pt idx="14">
                  <formatCode>0.0</formatCode>
                  <v>541.7265465061038</v>
                </pt>
                <pt idx="15">
                  <formatCode>0.0</formatCode>
                  <v>494.8056437099405</v>
                </pt>
                <pt idx="16">
                  <formatCode>0.0</formatCode>
                  <v>487.404764387762</v>
                </pt>
                <pt idx="17">
                  <formatCode>0.0</formatCode>
                  <v>528.9861765097568</v>
                </pt>
                <pt idx="18">
                  <formatCode>0.0</formatCode>
                  <v>536.7790209419877</v>
                </pt>
                <pt idx="19">
                  <formatCode>0.0</formatCode>
                  <v>517.4508430640014</v>
                </pt>
                <pt idx="20">
                  <formatCode>0.0</formatCode>
                  <v>550.2890513862872</v>
                </pt>
                <pt idx="21">
                  <formatCode>0.0</formatCode>
                  <v>568.0109995408515</v>
                </pt>
                <pt idx="22">
                  <formatCode>0.0</formatCode>
                  <v>533.2590261971918</v>
                </pt>
                <pt idx="23">
                  <formatCode>0.0</formatCode>
                  <v>578.7447224834757</v>
                </pt>
                <pt idx="24">
                  <formatCode>0.0</formatCode>
                  <v>615.8684129106541</v>
                </pt>
                <pt idx="25">
                  <formatCode>0.0</formatCode>
                  <v>594.9722853346706</v>
                </pt>
                <pt idx="26">
                  <formatCode>0.0</formatCode>
                  <v>566.9798659895367</v>
                </pt>
                <pt idx="27">
                  <formatCode>0.0</formatCode>
                  <v>594.1508695357728</v>
                </pt>
                <pt idx="28">
                  <formatCode>0.0</formatCode>
                  <v>606.1182310511039</v>
                </pt>
                <pt idx="29">
                  <formatCode>0.0</formatCode>
                  <v>552.7224021383923</v>
                </pt>
                <pt idx="30">
                  <formatCode>0.0</formatCode>
                  <v>586.6661228438344</v>
                </pt>
                <pt idx="31">
                  <formatCode>0.0</formatCode>
                  <v>591.2008047408971</v>
                </pt>
                <pt idx="32">
                  <formatCode>0.0</formatCode>
                  <v>561.3426603461189</v>
                </pt>
                <pt idx="33">
                  <formatCode>0.0</formatCode>
                  <v>616.0764146984469</v>
                </pt>
                <pt idx="34">
                  <formatCode>0.0</formatCode>
                  <v>603.8824114628117</v>
                </pt>
                <pt idx="35">
                  <formatCode>0.0</formatCode>
                  <v>654.9749968788765</v>
                </pt>
                <pt idx="36">
                  <formatCode>0.0</formatCode>
                  <v>610.431626488833</v>
                </pt>
                <pt idx="37">
                  <formatCode>0.0</formatCode>
                  <v>636.0871228361908</v>
                </pt>
                <pt idx="38">
                  <formatCode>0.0</formatCode>
                  <v>691.3102945137531</v>
                </pt>
                <pt idx="39">
                  <formatCode>0.0</formatCode>
                  <v>620.7841967335409</v>
                </pt>
                <pt idx="40">
                  <formatCode>0.0</formatCode>
                  <v>669.0820679927887</v>
                </pt>
                <pt idx="41">
                  <formatCode>0.0</formatCode>
                  <v>655.6157444186671</v>
                </pt>
                <pt idx="42">
                  <formatCode>0.0</formatCode>
                  <v>605.4205303507208</v>
                </pt>
                <pt idx="43">
                  <formatCode>0.0</formatCode>
                  <v>675.198295122832</v>
                </pt>
                <pt idx="44">
                  <formatCode>0.0</formatCode>
                  <v>690.3773527439431</v>
                </pt>
                <pt idx="45">
                  <formatCode>0.0</formatCode>
                  <v>649.1431719093766</v>
                </pt>
                <pt idx="46">
                  <formatCode>0.0</formatCode>
                  <v>707.6357377741751</v>
                </pt>
                <pt idx="47">
                  <formatCode>0.0</formatCode>
                  <v>729.7076967988635</v>
                </pt>
                <pt idx="48">
                  <formatCode>0.0</formatCode>
                  <v>709.7307507035237</v>
                </pt>
                <pt idx="49">
                  <formatCode>0.0</formatCode>
                  <v>712.6389625748774</v>
                </pt>
                <pt idx="50">
                  <formatCode>0.0</formatCode>
                  <v>732.9254401958368</v>
                </pt>
                <pt idx="51">
                  <formatCode>0.0</formatCode>
                  <v>746.3902474477848</v>
                </pt>
                <pt idx="52">
                  <formatCode>0.0</formatCode>
                  <v>727.0369072050238</v>
                </pt>
                <pt idx="53">
                  <formatCode>0.0</formatCode>
                  <v>769.9518718796097</v>
                </pt>
                <pt idx="54">
                  <formatCode>0.0</formatCode>
                  <v>745.4360004169392</v>
                </pt>
                <pt idx="55">
                  <formatCode>0.0</formatCode>
                  <v>748.3134717716594</v>
                </pt>
                <pt idx="56">
                  <formatCode>0.0</formatCode>
                  <v>737.604108941631</v>
                </pt>
                <pt idx="57">
                  <formatCode>0.0</formatCode>
                  <v>749.4161145799839</v>
                </pt>
                <pt idx="58">
                  <formatCode>0.0</formatCode>
                  <v>740.9826686589247</v>
                </pt>
                <pt idx="59">
                  <formatCode>0.0</formatCode>
                  <v>748.7070330170386</v>
                </pt>
                <pt idx="60">
                  <formatCode>0.0</formatCode>
                  <v>732.3220503729411</v>
                </pt>
                <pt idx="61">
                  <formatCode>0.0</formatCode>
                  <v>732.3220503729411</v>
                </pt>
                <pt idx="62">
                  <formatCode>0.0</formatCode>
                  <v>732.3220503729411</v>
                </pt>
                <pt idx="63">
                  <formatCode>0.0</formatCode>
                  <v>732.3220503729411</v>
                </pt>
                <pt idx="64">
                  <formatCode>0.0</formatCode>
                  <v>732.3220503729411</v>
                </pt>
                <pt idx="65">
                  <formatCode>0.0</formatCode>
                  <v>732.3220503729411</v>
                </pt>
                <pt idx="66">
                  <formatCode>0.0</formatCode>
                  <v>732.3220503729411</v>
                </pt>
                <pt idx="67">
                  <formatCode>0.0</formatCode>
                  <v>732.3220503729411</v>
                </pt>
                <pt idx="68">
                  <formatCode>0.0</formatCode>
                  <v>732.3220503729411</v>
                </pt>
                <pt idx="69">
                  <formatCode>0.0</formatCode>
                  <v>732.3220503729411</v>
                </pt>
                <pt idx="70">
                  <formatCode>0.0</formatCode>
                  <v>732.3220503729411</v>
                </pt>
                <pt idx="71">
                  <formatCode>0.0</formatCode>
                  <v>732.3220503729411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66989007"/>
        <axId val="1366990719"/>
      </lineChart>
      <catAx>
        <axId val="13669890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366990719"/>
        <crosses val="autoZero"/>
        <auto val="1"/>
        <lblAlgn val="ctr"/>
        <lblOffset val="100"/>
        <tickLblSkip val="2"/>
        <noMultiLvlLbl val="0"/>
      </catAx>
      <valAx>
        <axId val="1366990719"/>
        <scaling>
          <orientation val="minMax"/>
          <min val="30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36698900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Pr/>
  <sheetViews>
    <sheetView zoomScale="84" workbookViewId="0" zoomToFit="1"/>
  </sheetViews>
  <pageMargins left="0.511811024" right="0.511811024" top="0.787401575" bottom="0.787401575" header="0.31496062" footer="0.31496062"/>
  <drawing xmlns:r="http://schemas.openxmlformats.org/officeDocument/2006/relationships" r:id="rId1"/>
</chartsheet>
</file>

<file path=xl/comments/comment1.xml><?xml version="1.0" encoding="utf-8"?>
<comments xmlns="http://schemas.openxmlformats.org/spreadsheetml/2006/main">
  <authors>
    <author>Resposta</author>
  </authors>
  <commentList>
    <comment ref="D23" authorId="0" shapeId="0">
      <text>
        <t>Pesos obtidos por otimização (Solver): minimizam o MAD das previsões dos meses 13 a 60, sujeitos a soma dos pesos = 1 e pesos &gt;= 0.</t>
      </text>
    </comment>
    <comment ref="C31" authorId="0" shapeId="0">
      <text>
        <t>Pesos obtidos por otimização (Solver): minimizam o MAD das previsões dos meses 5 a 60, sujeitos a soma dos pesos = 1 e pesos &gt;= 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_enunciado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1049020</xdr:colOff>
      <xdr:row>23</xdr:row>
      <xdr:rowOff>86360</xdr:rowOff>
    </xdr:from>
    <xdr:to>
      <xdr:col>1</xdr:col>
      <xdr:colOff>1430020</xdr:colOff>
      <xdr:row>24</xdr:row>
      <xdr:rowOff>111760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1719580" y="4008120"/>
          <a:ext cx="381000" cy="187960"/>
        </a:xfrm>
        <a:prstGeom prst="rightArrow">
          <a:avLst>
            <a:gd name="adj1" fmla="val 50000"/>
            <a:gd name="adj2" fmla="val 53571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12700</xdr:colOff>
      <xdr:row>0</xdr:row>
      <xdr:rowOff>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105029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A demanda semanal por PDAs na B&amp;M Computer World tem uma distribuição normal com média de 2.500 e desvio padrão de 500. O lead time de ressuprimento é de duas semanas. Suponha que a demanda seja independente de uma semana para outra. De acordo com a política de suprimentos, 10.000 PDAs são pedidos quando o nível de estoque atinge 6.000 aparelhos.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(a) Qual estoque de segurança deve ser mantido pela loja?</a:t>
          </a: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(b) Qual é o grau de atendimento do item conquistado pela B&amp;M como conseqüência dessa política?</a:t>
          </a:r>
        </a:p>
      </xdr:txBody>
    </xdr:sp>
    <xdr:clientData/>
  </xdr:twoCellAnchor>
  <xdr:twoCellAnchor>
    <xdr:from>
      <xdr:col>0</xdr:col>
      <xdr:colOff>61174</xdr:colOff>
      <xdr:row>0</xdr:row>
      <xdr:rowOff>50799</xdr:rowOff>
    </xdr:from>
    <xdr:to>
      <xdr:col>8</xdr:col>
      <xdr:colOff>310229</xdr:colOff>
      <xdr:row>8</xdr:row>
      <xdr:rowOff>50800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84BCF52-D6D1-3397-647F-0CC160C35226}"/>
            </a:ext>
          </a:extLst>
        </xdr:cNvPr>
        <xdr:cNvSpPr txBox="1"/>
      </xdr:nvSpPr>
      <xdr:spPr>
        <a:xfrm>
          <a:off x="61174" y="50799"/>
          <a:ext cx="8173855" cy="146304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Considere o</a:t>
          </a:r>
          <a:r>
            <a:rPr lang="pt-BR" sz="1200" baseline="0">
              <a:latin typeface="Arial" panose="020B0604020202020204" pitchFamily="34" charset="0"/>
              <a:cs typeface="Arial" panose="020B0604020202020204" pitchFamily="34" charset="0"/>
            </a:rPr>
            <a:t> histórico de vendas dos 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últimos 60 meses da ABC Corporation, apresentada abaixo.</a:t>
          </a:r>
        </a:p>
        <a:p>
          <a:endParaRPr lang="pt-BR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Faça a previsão de demanda para os próximos 12 meses, usando o modelo de média móvel ponderada. Trabalhe com dois tamanhos de médias, justificando essas escolhas.</a:t>
          </a:r>
        </a:p>
        <a:p>
          <a:endParaRPr lang="pt-BR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A seguir, estime</a:t>
          </a:r>
          <a:r>
            <a:rPr lang="pt-BR" sz="1200" baseline="0">
              <a:latin typeface="Arial" panose="020B0604020202020204" pitchFamily="34" charset="0"/>
              <a:cs typeface="Arial" panose="020B0604020202020204" pitchFamily="34" charset="0"/>
            </a:rPr>
            <a:t> a acurácia das previsões por meio do Desvio Absoluto Médio (MAD), e use esses dados para </a:t>
          </a:r>
          <a:r>
            <a:rPr lang="pt-BR" sz="1200">
              <a:latin typeface="Arial" panose="020B0604020202020204" pitchFamily="34" charset="0"/>
              <a:cs typeface="Arial" panose="020B0604020202020204" pitchFamily="34" charset="0"/>
            </a:rPr>
            <a:t>definir os melhores pesos para cada previsão. Atente-se para a quantidade de observações para o cálculo do</a:t>
          </a:r>
          <a:r>
            <a:rPr lang="pt-BR" sz="1200" baseline="0">
              <a:latin typeface="Arial" panose="020B0604020202020204" pitchFamily="34" charset="0"/>
              <a:cs typeface="Arial" panose="020B0604020202020204" pitchFamily="34" charset="0"/>
            </a:rPr>
            <a:t> desvio médio.</a:t>
          </a:r>
          <a:endParaRPr lang="pt-BR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Enunciado" Type="http://schemas.openxmlformats.org/officeDocument/2006/relationships/drawing" Target="/xl/drawings/drawing_enunciado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21" t="inlineStr">
        <is>
          <t>Exercício 1 – Previsão de demanda por média móvel ponderada</t>
        </is>
      </c>
    </row>
    <row r="2">
      <c r="B2" s="22" t="inlineStr">
        <is>
          <t>ABC Corporation – histórico de 60 meses de vendas (mil R$)</t>
        </is>
      </c>
    </row>
    <row r="4">
      <c r="B4" s="23" t="inlineStr">
        <is>
          <t>Enunciado</t>
        </is>
      </c>
    </row>
    <row r="5">
      <c r="B5" s="24" t="inlineStr">
        <is>
          <t>Considere o histórico de vendas dos últimos 60 meses da ABC Corporation, apresentado na aba "Média móvel ponderada". Faça a previsão de demanda para os próximos 12 meses usando o modelo de média móvel ponderada. Trabalhe com dois tamanhos de médias, justificando essas escolhas. A seguir, estime a acurácia das previsões por meio do Desvio Absoluto Médio (MAD) e use esses dados para definir os melhores pesos para cada previsão. Atente-se para a quantidade de observações para o cálculo do desvio médio.</t>
        </is>
      </c>
    </row>
    <row r="6"/>
    <row r="7"/>
    <row r="8"/>
    <row r="10">
      <c r="B10" s="23" t="inlineStr">
        <is>
          <t>1. Tamanhos de média escolhidos e justificativa</t>
        </is>
      </c>
    </row>
    <row r="11">
      <c r="B11" s="25" t="inlineStr">
        <is>
          <t>Média móvel de 4 meses (n = 4) e média móvel de 12 meses (n = 12).</t>
        </is>
      </c>
    </row>
    <row r="12">
      <c r="B12" s="26" t="inlineStr">
        <is>
          <t>•  n = 4 (trimestral): janela curta, reage rapidamente a mudanças de nível e acompanha a tendência de crescimento da série (média dos meses 1–30 = 525,0 e dos meses 31–60 = 676,0 mil R$). Em compensação, filtra pouco a variação aleatória.</t>
        </is>
      </c>
    </row>
    <row r="13"/>
    <row r="14">
      <c r="B14" s="26" t="inlineStr">
        <is>
          <t>•  n = 12 (anual): janela longa, cobre um ciclo completo de 12 meses, elimina eventuais efeitos sazonais e suaviza fortemente o ruído (desvio-padrão da série = 109,3 mil R$). Em compensação, responde com atraso a mudanças de nível.</t>
        </is>
      </c>
    </row>
    <row r="15"/>
    <row r="16">
      <c r="B16" s="26" t="inlineStr">
        <is>
          <t>•  Os dois tamanhos representam, portanto, os extremos do trade-off "sensibilidade × estabilidade" citado em aula, o que torna a comparação entre eles informativa.</t>
        </is>
      </c>
    </row>
    <row r="17"/>
    <row r="19">
      <c r="B19" s="23" t="inlineStr">
        <is>
          <t>2. Pesos otimizados (definidos pela minimização do MAD)</t>
        </is>
      </c>
    </row>
    <row r="20">
      <c r="B20" s="26" t="inlineStr">
        <is>
          <t>Os pesos foram obtidos por otimização (Solver – célula-objetivo: MAD; células variáveis: os pesos; restrições: soma dos pesos = 1 e todos os pesos ≥ 0). Estão gravados nas células amarelas da aba "Média móvel ponderada" (C31:C34 para n = 4 e D23:D34 para n = 12).</t>
        </is>
      </c>
    </row>
    <row r="21"/>
    <row r="23">
      <c r="B23" s="27" t="inlineStr">
        <is>
          <t>Defasagem</t>
        </is>
      </c>
      <c r="C23" s="27" t="inlineStr">
        <is>
          <t>Peso – MM 4</t>
        </is>
      </c>
      <c r="D23" s="27" t="inlineStr">
        <is>
          <t>Peso – MM 12</t>
        </is>
      </c>
    </row>
    <row r="24">
      <c r="B24" s="28" t="inlineStr">
        <is>
          <t>t–12  (mais antigo)</t>
        </is>
      </c>
      <c r="C24" s="28" t="inlineStr">
        <is>
          <t>–</t>
        </is>
      </c>
      <c r="D24" s="29">
        <f>'Média móvel ponderada'!D23</f>
        <v/>
      </c>
    </row>
    <row r="25">
      <c r="B25" s="28" t="inlineStr">
        <is>
          <t>t–11</t>
        </is>
      </c>
      <c r="C25" s="28" t="inlineStr">
        <is>
          <t>–</t>
        </is>
      </c>
      <c r="D25" s="29">
        <f>'Média móvel ponderada'!D24</f>
        <v/>
      </c>
    </row>
    <row r="26">
      <c r="B26" s="28" t="inlineStr">
        <is>
          <t>t–10</t>
        </is>
      </c>
      <c r="C26" s="28" t="inlineStr">
        <is>
          <t>–</t>
        </is>
      </c>
      <c r="D26" s="29">
        <f>'Média móvel ponderada'!D25</f>
        <v/>
      </c>
    </row>
    <row r="27">
      <c r="B27" s="28" t="inlineStr">
        <is>
          <t>t–9</t>
        </is>
      </c>
      <c r="C27" s="28" t="inlineStr">
        <is>
          <t>–</t>
        </is>
      </c>
      <c r="D27" s="29">
        <f>'Média móvel ponderada'!D26</f>
        <v/>
      </c>
    </row>
    <row r="28">
      <c r="B28" s="28" t="inlineStr">
        <is>
          <t>t–8</t>
        </is>
      </c>
      <c r="C28" s="28" t="inlineStr">
        <is>
          <t>–</t>
        </is>
      </c>
      <c r="D28" s="29">
        <f>'Média móvel ponderada'!D27</f>
        <v/>
      </c>
    </row>
    <row r="29">
      <c r="B29" s="28" t="inlineStr">
        <is>
          <t>t–7</t>
        </is>
      </c>
      <c r="C29" s="28" t="inlineStr">
        <is>
          <t>–</t>
        </is>
      </c>
      <c r="D29" s="29">
        <f>'Média móvel ponderada'!D28</f>
        <v/>
      </c>
    </row>
    <row r="30">
      <c r="B30" s="28" t="inlineStr">
        <is>
          <t>t–6</t>
        </is>
      </c>
      <c r="C30" s="28" t="inlineStr">
        <is>
          <t>–</t>
        </is>
      </c>
      <c r="D30" s="29">
        <f>'Média móvel ponderada'!D29</f>
        <v/>
      </c>
    </row>
    <row r="31">
      <c r="B31" s="28" t="inlineStr">
        <is>
          <t>t–5</t>
        </is>
      </c>
      <c r="C31" s="28" t="inlineStr">
        <is>
          <t>–</t>
        </is>
      </c>
      <c r="D31" s="29">
        <f>'Média móvel ponderada'!D30</f>
        <v/>
      </c>
    </row>
    <row r="32">
      <c r="B32" s="28" t="inlineStr">
        <is>
          <t>t–4</t>
        </is>
      </c>
      <c r="C32" s="29">
        <f>'Média móvel ponderada'!C31</f>
        <v/>
      </c>
      <c r="D32" s="29">
        <f>'Média móvel ponderada'!D31</f>
        <v/>
      </c>
    </row>
    <row r="33">
      <c r="B33" s="28" t="inlineStr">
        <is>
          <t>t–3</t>
        </is>
      </c>
      <c r="C33" s="29">
        <f>'Média móvel ponderada'!C32</f>
        <v/>
      </c>
      <c r="D33" s="29">
        <f>'Média móvel ponderada'!D32</f>
        <v/>
      </c>
    </row>
    <row r="34">
      <c r="B34" s="28" t="inlineStr">
        <is>
          <t>t–2</t>
        </is>
      </c>
      <c r="C34" s="29">
        <f>'Média móvel ponderada'!C33</f>
        <v/>
      </c>
      <c r="D34" s="29">
        <f>'Média móvel ponderada'!D33</f>
        <v/>
      </c>
    </row>
    <row r="35">
      <c r="B35" s="28" t="inlineStr">
        <is>
          <t>t–1  (mais recente)</t>
        </is>
      </c>
      <c r="C35" s="29">
        <f>'Média móvel ponderada'!C34</f>
        <v/>
      </c>
      <c r="D35" s="29">
        <f>'Média móvel ponderada'!D34</f>
        <v/>
      </c>
    </row>
    <row r="36">
      <c r="B36" s="27" t="inlineStr">
        <is>
          <t>Soma</t>
        </is>
      </c>
      <c r="C36" s="30">
        <f>'Média móvel ponderada'!C35</f>
        <v/>
      </c>
      <c r="D36" s="30">
        <f>'Média móvel ponderada'!D35</f>
        <v/>
      </c>
    </row>
    <row r="38">
      <c r="B38" s="23" t="inlineStr">
        <is>
          <t>3. Acurácia das previsões – Desvio Absoluto Médio (MAD)</t>
        </is>
      </c>
    </row>
    <row r="39">
      <c r="B39" s="26" t="inlineStr">
        <is>
          <t>Atenção à quantidade de observações: a MM 4 já produz previsão a partir do mês 5, enquanto a MM 12 só produz a partir do mês 13. Comparar os MAD calculados sobre quantidades diferentes de observações levaria a uma conclusão errada; por isso a comparação decisiva é feita sobre a MESMA base (meses 13 a 60).</t>
        </is>
      </c>
    </row>
    <row r="40"/>
    <row r="42">
      <c r="B42" s="27" t="inlineStr">
        <is>
          <t>Modelo</t>
        </is>
      </c>
      <c r="C42" s="27" t="inlineStr">
        <is>
          <t>Período avaliado</t>
        </is>
      </c>
      <c r="D42" s="27" t="inlineStr">
        <is>
          <t>Nº de previsões</t>
        </is>
      </c>
      <c r="E42" s="27" t="inlineStr">
        <is>
          <t>MAD (mil R$)</t>
        </is>
      </c>
    </row>
    <row r="43">
      <c r="B43" s="28" t="inlineStr">
        <is>
          <t>Média móvel 4</t>
        </is>
      </c>
      <c r="C43" s="28" t="inlineStr">
        <is>
          <t>Meses 5 a 60</t>
        </is>
      </c>
      <c r="D43" s="31">
        <f>COUNT('Média móvel ponderada'!H41:H96)</f>
        <v/>
      </c>
      <c r="E43" s="32">
        <f>'Média móvel ponderada'!H98</f>
        <v/>
      </c>
    </row>
    <row r="44">
      <c r="B44" s="33" t="inlineStr">
        <is>
          <t>Média móvel 4</t>
        </is>
      </c>
      <c r="C44" s="33" t="inlineStr">
        <is>
          <t>Meses 13 a 60</t>
        </is>
      </c>
      <c r="D44" s="34">
        <f>COUNT('Média móvel ponderada'!H49:H96)</f>
        <v/>
      </c>
      <c r="E44" s="35">
        <f>AVERAGE('Média móvel ponderada'!H49:H96)</f>
        <v/>
      </c>
    </row>
    <row r="45">
      <c r="B45" s="33" t="inlineStr">
        <is>
          <t>Média móvel 12</t>
        </is>
      </c>
      <c r="C45" s="33" t="inlineStr">
        <is>
          <t>Meses 13 a 60</t>
        </is>
      </c>
      <c r="D45" s="34">
        <f>COUNT('Média móvel ponderada'!I49:I96)</f>
        <v/>
      </c>
      <c r="E45" s="35">
        <f>'Média móvel ponderada'!I98</f>
        <v/>
      </c>
    </row>
    <row r="47">
      <c r="B47" s="36" t="inlineStr">
        <is>
          <t>As duas linhas destacadas em amarelo são as comparáveis entre si (mesmos 48 meses previstos).</t>
        </is>
      </c>
    </row>
    <row r="49">
      <c r="B49" s="23" t="inlineStr">
        <is>
          <t>4. Conclusão – qual média é mais acurada?</t>
        </is>
      </c>
    </row>
    <row r="50">
      <c r="B50" s="26" t="inlineStr">
        <is>
          <t>Sobre a mesma base de 48 previsões (meses 13 a 60), a média móvel de 12 meses apresenta o menor MAD (≈ 65,5 mil R$) contra ≈ 69,2 mil R$ da média móvel de 4 meses — cerca de 5% mais acurada. Ou seja, apesar da tendência de crescimento, a série é dominada por variação aleatória de grande amplitude, e a janela mais longa filtra melhor esse ruído do que o ganho de sensibilidade obtido pela janela curta.
Observe que o MAD da MM 4 calculado sobre TODAS as suas previsões (meses 5 a 60) é ≈ 63,0 mil R$ e, se fosse comparado diretamente com o da MM 12, sugeriria — incorretamente — que a MM 4 é melhor. A diferença vem apenas dos meses 5 a 12: naquele trecho inicial o nível de vendas era mais baixo e a série, mais estável (MAD da MM 4 nos meses 5 a 12 = 25,3 mil R$, contra 69,3 mil R$ nos meses 13 a 60). Daí a advertência do enunciado quanto ao número de observações.
Recomendação: adotar a média móvel ponderada de 12 meses para a previsão dos meses 61 a 72.</t>
        </is>
      </c>
    </row>
    <row r="51"/>
    <row r="52"/>
    <row r="53"/>
    <row r="55">
      <c r="B55" s="23" t="inlineStr">
        <is>
          <t>5. Previsão de demanda para os próximos 12 meses (mil R$)</t>
        </is>
      </c>
    </row>
    <row r="56">
      <c r="B56" s="27" t="inlineStr">
        <is>
          <t>Mês</t>
        </is>
      </c>
      <c r="C56" s="27" t="inlineStr">
        <is>
          <t>Média móvel 4</t>
        </is>
      </c>
      <c r="D56" s="27" t="inlineStr">
        <is>
          <t>Média móvel 12</t>
        </is>
      </c>
    </row>
    <row r="57">
      <c r="B57" s="31" t="n">
        <v>61</v>
      </c>
      <c r="C57" s="32">
        <f>'Média móvel ponderada'!C97</f>
        <v/>
      </c>
      <c r="D57" s="35">
        <f>'Média móvel ponderada'!D97</f>
        <v/>
      </c>
    </row>
    <row r="58">
      <c r="B58" s="31" t="n">
        <v>62</v>
      </c>
      <c r="C58" s="32">
        <f>'Média móvel ponderada'!C98</f>
        <v/>
      </c>
      <c r="D58" s="35">
        <f>'Média móvel ponderada'!D98</f>
        <v/>
      </c>
    </row>
    <row r="59">
      <c r="B59" s="31" t="n">
        <v>63</v>
      </c>
      <c r="C59" s="32">
        <f>'Média móvel ponderada'!C99</f>
        <v/>
      </c>
      <c r="D59" s="35">
        <f>'Média móvel ponderada'!D99</f>
        <v/>
      </c>
    </row>
    <row r="60">
      <c r="B60" s="31" t="n">
        <v>64</v>
      </c>
      <c r="C60" s="32">
        <f>'Média móvel ponderada'!C100</f>
        <v/>
      </c>
      <c r="D60" s="35">
        <f>'Média móvel ponderada'!D100</f>
        <v/>
      </c>
    </row>
    <row r="61">
      <c r="B61" s="31" t="n">
        <v>65</v>
      </c>
      <c r="C61" s="32">
        <f>'Média móvel ponderada'!C101</f>
        <v/>
      </c>
      <c r="D61" s="35">
        <f>'Média móvel ponderada'!D101</f>
        <v/>
      </c>
    </row>
    <row r="62">
      <c r="B62" s="31" t="n">
        <v>66</v>
      </c>
      <c r="C62" s="32">
        <f>'Média móvel ponderada'!C102</f>
        <v/>
      </c>
      <c r="D62" s="35">
        <f>'Média móvel ponderada'!D102</f>
        <v/>
      </c>
    </row>
    <row r="63">
      <c r="B63" s="31" t="n">
        <v>67</v>
      </c>
      <c r="C63" s="32">
        <f>'Média móvel ponderada'!C103</f>
        <v/>
      </c>
      <c r="D63" s="35">
        <f>'Média móvel ponderada'!D103</f>
        <v/>
      </c>
    </row>
    <row r="64">
      <c r="B64" s="31" t="n">
        <v>68</v>
      </c>
      <c r="C64" s="32">
        <f>'Média móvel ponderada'!C104</f>
        <v/>
      </c>
      <c r="D64" s="35">
        <f>'Média móvel ponderada'!D104</f>
        <v/>
      </c>
    </row>
    <row r="65">
      <c r="B65" s="31" t="n">
        <v>69</v>
      </c>
      <c r="C65" s="32">
        <f>'Média móvel ponderada'!C105</f>
        <v/>
      </c>
      <c r="D65" s="35">
        <f>'Média móvel ponderada'!D105</f>
        <v/>
      </c>
    </row>
    <row r="66">
      <c r="B66" s="31" t="n">
        <v>70</v>
      </c>
      <c r="C66" s="32">
        <f>'Média móvel ponderada'!C106</f>
        <v/>
      </c>
      <c r="D66" s="35">
        <f>'Média móvel ponderada'!D106</f>
        <v/>
      </c>
    </row>
    <row r="67">
      <c r="B67" s="31" t="n">
        <v>71</v>
      </c>
      <c r="C67" s="32">
        <f>'Média móvel ponderada'!C107</f>
        <v/>
      </c>
      <c r="D67" s="35">
        <f>'Média móvel ponderada'!D107</f>
        <v/>
      </c>
    </row>
    <row r="68">
      <c r="B68" s="31" t="n">
        <v>72</v>
      </c>
      <c r="C68" s="32">
        <f>'Média móvel ponderada'!C108</f>
        <v/>
      </c>
      <c r="D68" s="35">
        <f>'Média móvel ponderada'!D108</f>
        <v/>
      </c>
    </row>
    <row r="69">
      <c r="B69" s="36" t="inlineStr">
        <is>
          <t>A previsão do mês 61 usa as vendas reais mais recentes (meses 57 a 60 na MM 4; meses 49 a 60 na MM 12). Para os meses 62 a 72 não há novas vendas reais, de modo que a previsão é mantida constante no valor do mês 61 (fórmulas com referências fixas $B$93:$B$96 e $B$85:$B$96, conforme o modelo da planilha).</t>
        </is>
      </c>
    </row>
    <row r="70"/>
    <row r="72">
      <c r="B72" s="23" t="inlineStr">
        <is>
          <t>6. Premissas e observações</t>
        </is>
      </c>
    </row>
    <row r="73">
      <c r="B73" s="37" t="inlineStr">
        <is>
          <t>•  Dados de vendas (meses 1 a 60): fornecidos no enunciado, células B37:B96 da aba "Média móvel ponderada" – não foram alterados.</t>
        </is>
      </c>
    </row>
    <row r="74"/>
    <row r="75">
      <c r="B75" s="37" t="inlineStr">
        <is>
          <t>•  Restrição de soma dos pesos igual a 1: exigência do modelo de média móvel ponderada (conferida nas células C35 e D35). Nos pesos originalmente gravados no arquivo, a soma da MM 12 era 1,0484, o que embutia um fator de correção de nível e invalidava a comparação; isso foi corrigido.</t>
        </is>
      </c>
    </row>
    <row r="76"/>
    <row r="77">
      <c r="B77" s="37" t="inlineStr">
        <is>
          <t>•  A otimização minimiza o MAD de cada modelo sobre todas as previsões que ele é capaz de gerar (meses 5 a 60 para a MM 4 e meses 13 a 60 para a MM 12), que são exatamente as células-objetivo H98 e I98 da planilha.</t>
        </is>
      </c>
    </row>
    <row r="78"/>
    <row r="79">
      <c r="B79" s="37" t="inlineStr">
        <is>
          <t>•  Na MM 12 vários pesos resultaram iguais a zero: essas defasagens não acrescentam informação à previsão. Uma solução alternativa com pesos mais distribuídos (sem zeros) eleva o MAD em apenas ~0,5% (de 65,5 para 65,9 mil R$).</t>
        </is>
      </c>
    </row>
    <row r="80"/>
    <row r="81">
      <c r="B81" s="37" t="inlineStr">
        <is>
          <t>•  Todos os valores estão em mil R$ e todos os resultados da planilha são calculados por fórmulas – alterar pesos ou dados recalcula tudo automaticamente.</t>
        </is>
      </c>
    </row>
    <row r="82"/>
  </sheetData>
  <mergeCells count="15">
    <mergeCell ref="B79:F80"/>
    <mergeCell ref="B50:F53"/>
    <mergeCell ref="B75:F76"/>
    <mergeCell ref="B12:F13"/>
    <mergeCell ref="B47:F47"/>
    <mergeCell ref="B69:F70"/>
    <mergeCell ref="B77:F78"/>
    <mergeCell ref="B16:F17"/>
    <mergeCell ref="B11:F11"/>
    <mergeCell ref="B20:F21"/>
    <mergeCell ref="B73:F74"/>
    <mergeCell ref="B81:F82"/>
    <mergeCell ref="B5:F8"/>
    <mergeCell ref="B39:F40"/>
    <mergeCell ref="B14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tabSelected="1" topLeftCell="A80" zoomScale="83" zoomScaleNormal="88" workbookViewId="0">
      <selection activeCell="L25" sqref="L25"/>
    </sheetView>
  </sheetViews>
  <sheetFormatPr baseColWidth="8" defaultColWidth="8.77734375" defaultRowHeight="13.2"/>
  <cols>
    <col width="8.77734375" customWidth="1" style="4" min="1" max="1"/>
    <col width="20.44140625" bestFit="1" customWidth="1" style="4" min="2" max="2"/>
    <col width="14.44140625" bestFit="1" customWidth="1" style="4" min="3" max="5"/>
    <col width="8.77734375" customWidth="1" style="4" min="6" max="6"/>
    <col width="7.44140625" customWidth="1" style="4" min="7" max="7"/>
    <col width="14.77734375" bestFit="1" customWidth="1" style="4" min="8" max="8"/>
    <col width="14.44140625" bestFit="1" customWidth="1" style="4" min="9" max="9"/>
    <col width="7.109375" customWidth="1" style="4" min="10" max="10"/>
  </cols>
  <sheetData>
    <row r="1" ht="13.8" customFormat="1" customHeight="1" s="1">
      <c r="A1" s="14" t="n"/>
      <c r="B1" s="14" t="n"/>
      <c r="C1" s="2" t="n"/>
      <c r="D1" s="14" t="n"/>
      <c r="E1" s="14" t="n"/>
      <c r="F1" s="14" t="n"/>
      <c r="G1" s="14" t="n"/>
      <c r="H1" s="14" t="n"/>
      <c r="I1" s="14" t="n"/>
      <c r="J1" s="14" t="n"/>
    </row>
    <row r="2" ht="13.8" customFormat="1" customHeight="1" s="1">
      <c r="A2" s="14" t="n"/>
      <c r="B2" s="14" t="n"/>
      <c r="C2" s="2" t="n"/>
      <c r="D2" s="14" t="n"/>
      <c r="E2" s="14" t="n"/>
      <c r="F2" s="14" t="n"/>
      <c r="G2" s="14" t="n"/>
      <c r="H2" s="14" t="n"/>
      <c r="I2" s="14" t="n"/>
      <c r="J2" s="14" t="n"/>
    </row>
    <row r="3" ht="13.8" customFormat="1" customHeight="1" s="1">
      <c r="A3" s="14" t="n"/>
      <c r="B3" s="14" t="n"/>
      <c r="C3" s="2" t="n"/>
      <c r="D3" s="14" t="n"/>
      <c r="E3" s="14" t="n"/>
      <c r="F3" s="14" t="n"/>
      <c r="G3" s="14" t="n"/>
      <c r="H3" s="14" t="n"/>
      <c r="I3" s="14" t="n"/>
      <c r="J3" s="14" t="n"/>
    </row>
    <row r="4" ht="13.8" customFormat="1" customHeight="1" s="1">
      <c r="A4" s="14" t="n"/>
      <c r="B4" s="14" t="n"/>
      <c r="C4" s="2" t="n"/>
      <c r="D4" s="14" t="n"/>
      <c r="E4" s="14" t="n"/>
      <c r="F4" s="14" t="n"/>
      <c r="G4" s="14" t="n"/>
      <c r="H4" s="14" t="n"/>
      <c r="I4" s="14" t="n"/>
      <c r="J4" s="14" t="n"/>
    </row>
    <row r="5" ht="13.8" customFormat="1" customHeight="1" s="1">
      <c r="A5" s="14" t="n"/>
      <c r="B5" s="14" t="n"/>
      <c r="C5" s="2" t="n"/>
      <c r="D5" s="14" t="n"/>
      <c r="E5" s="14" t="n"/>
      <c r="F5" s="14" t="n"/>
      <c r="G5" s="14" t="n"/>
      <c r="H5" s="14" t="n"/>
      <c r="I5" s="14" t="n"/>
      <c r="J5" s="14" t="n"/>
    </row>
    <row r="6" ht="13.8" customFormat="1" customHeight="1" s="1">
      <c r="A6" s="14" t="n"/>
      <c r="B6" s="14" t="n"/>
      <c r="C6" s="2" t="n"/>
      <c r="D6" s="14" t="n"/>
      <c r="E6" s="14" t="n"/>
      <c r="F6" s="14" t="n"/>
      <c r="G6" s="14" t="n"/>
      <c r="H6" s="14" t="n"/>
      <c r="I6" s="14" t="n"/>
      <c r="J6" s="14" t="n"/>
    </row>
    <row r="7" ht="13.8" customFormat="1" customHeight="1" s="1">
      <c r="A7" s="14" t="n"/>
      <c r="B7" s="14" t="n"/>
      <c r="C7" s="2" t="n"/>
      <c r="D7" s="14" t="n"/>
      <c r="E7" s="14" t="n"/>
      <c r="F7" s="14" t="n"/>
      <c r="G7" s="14" t="n"/>
      <c r="H7" s="14" t="n"/>
      <c r="I7" s="14" t="n"/>
      <c r="J7" s="14" t="n"/>
    </row>
    <row r="8" ht="13.8" customFormat="1" customHeight="1" s="1">
      <c r="A8" s="14" t="n"/>
      <c r="B8" s="14" t="n"/>
      <c r="C8" s="2" t="n"/>
      <c r="D8" s="14" t="n"/>
      <c r="E8" s="14" t="n"/>
      <c r="F8" s="14" t="n"/>
      <c r="G8" s="14" t="n"/>
      <c r="H8" s="14" t="n"/>
      <c r="I8" s="14" t="n"/>
      <c r="J8" s="14" t="n"/>
    </row>
    <row r="9" ht="13.8" customFormat="1" customHeight="1" s="1">
      <c r="A9" s="14" t="n"/>
      <c r="B9" s="14" t="n"/>
      <c r="C9" s="2" t="n"/>
      <c r="D9" s="14" t="n"/>
      <c r="E9" s="14" t="n"/>
      <c r="F9" s="14" t="n"/>
      <c r="G9" s="14" t="n"/>
      <c r="H9" s="14" t="n"/>
      <c r="I9" s="14" t="n"/>
      <c r="J9" s="14" t="n"/>
    </row>
    <row r="11">
      <c r="C11" s="18" t="inlineStr">
        <is>
          <t>PREVISÕES</t>
        </is>
      </c>
      <c r="E11" s="18" t="n"/>
      <c r="H11" s="18" t="inlineStr">
        <is>
          <t>DESVIOS ABSOLUTOS</t>
        </is>
      </c>
    </row>
    <row r="12">
      <c r="H12" s="18" t="n"/>
      <c r="I12" s="18" t="n"/>
    </row>
    <row r="13">
      <c r="A13" s="18" t="inlineStr">
        <is>
          <t>Meses</t>
        </is>
      </c>
      <c r="B13" s="18" t="inlineStr">
        <is>
          <t>Total de vendas (mil R$)</t>
        </is>
      </c>
      <c r="C13" s="18" t="inlineStr">
        <is>
          <t>Média móvel 4</t>
        </is>
      </c>
      <c r="D13" s="18" t="inlineStr">
        <is>
          <t>Média móvel 12</t>
        </is>
      </c>
      <c r="H13" s="18" t="inlineStr">
        <is>
          <t>Média móvel 4</t>
        </is>
      </c>
      <c r="I13" s="18" t="inlineStr">
        <is>
          <t>Média móvel 12</t>
        </is>
      </c>
    </row>
    <row r="14">
      <c r="A14" s="18" t="n"/>
      <c r="B14" s="18" t="n"/>
      <c r="C14" s="18" t="n"/>
      <c r="D14" s="18" t="n"/>
      <c r="H14" s="18" t="n"/>
      <c r="I14" s="18" t="n"/>
    </row>
    <row r="15">
      <c r="A15" s="18" t="n"/>
      <c r="B15" s="19" t="inlineStr">
        <is>
          <t>Pesos</t>
        </is>
      </c>
      <c r="C15" s="8" t="n"/>
      <c r="D15" s="9" t="n"/>
      <c r="E15" s="16" t="inlineStr">
        <is>
          <t>PERÍODO MAIS ANTIGO</t>
        </is>
      </c>
      <c r="H15" s="18" t="n"/>
      <c r="I15" s="18" t="n"/>
    </row>
    <row r="16">
      <c r="A16" s="18" t="n"/>
      <c r="B16" s="38" t="n"/>
      <c r="C16" s="10" t="n"/>
      <c r="D16" s="11" t="n"/>
      <c r="H16" s="18" t="n"/>
      <c r="I16" s="18" t="n"/>
    </row>
    <row r="17">
      <c r="A17" s="18" t="n"/>
      <c r="B17" s="38" t="n"/>
      <c r="C17" s="10" t="n"/>
      <c r="D17" s="11" t="n"/>
      <c r="H17" s="18" t="n"/>
      <c r="I17" s="18" t="n"/>
    </row>
    <row r="18">
      <c r="A18" s="18" t="n"/>
      <c r="B18" s="38" t="n"/>
      <c r="C18" s="10" t="n"/>
      <c r="D18" s="11" t="n"/>
      <c r="H18" s="18" t="n"/>
      <c r="I18" s="18" t="n"/>
    </row>
    <row r="19">
      <c r="A19" s="18" t="n"/>
      <c r="B19" s="38" t="n"/>
      <c r="C19" s="10" t="n"/>
      <c r="D19" s="11" t="n"/>
      <c r="H19" s="18" t="n"/>
      <c r="I19" s="18" t="n"/>
    </row>
    <row r="20">
      <c r="A20" s="18" t="n"/>
      <c r="B20" s="38" t="n"/>
      <c r="C20" s="10" t="n"/>
      <c r="D20" s="11" t="n"/>
      <c r="H20" s="18" t="n"/>
      <c r="I20" s="18" t="n"/>
    </row>
    <row r="21">
      <c r="A21" s="18" t="n"/>
      <c r="B21" s="38" t="n"/>
      <c r="C21" s="10" t="n"/>
      <c r="D21" s="11" t="n"/>
      <c r="H21" s="18" t="n"/>
      <c r="I21" s="18" t="n"/>
    </row>
    <row r="22">
      <c r="A22" s="18" t="n"/>
      <c r="B22" s="38" t="n"/>
      <c r="C22" s="10" t="n"/>
      <c r="D22" s="11" t="n"/>
      <c r="H22" s="18" t="n"/>
      <c r="I22" s="18" t="n"/>
    </row>
    <row r="23">
      <c r="A23" s="18" t="n"/>
      <c r="B23" s="38" t="n"/>
      <c r="C23" s="39" t="n"/>
      <c r="D23" s="40" t="n">
        <v>0</v>
      </c>
      <c r="H23" s="18" t="n"/>
      <c r="I23" s="18" t="n"/>
    </row>
    <row r="24">
      <c r="A24" s="18" t="n"/>
      <c r="B24" s="38" t="n"/>
      <c r="C24" s="39" t="n"/>
      <c r="D24" s="40" t="n">
        <v>0</v>
      </c>
      <c r="H24" s="18" t="n"/>
      <c r="I24" s="18" t="n"/>
    </row>
    <row r="25">
      <c r="A25" s="18" t="n"/>
      <c r="B25" s="38" t="n"/>
      <c r="C25" s="39" t="n"/>
      <c r="D25" s="40" t="n">
        <v>0.03219006561655889</v>
      </c>
      <c r="H25" s="18" t="n"/>
      <c r="I25" s="18" t="n"/>
    </row>
    <row r="26">
      <c r="A26" s="18" t="n"/>
      <c r="B26" s="38" t="n"/>
      <c r="C26" s="39" t="n"/>
      <c r="D26" s="40" t="n">
        <v>0</v>
      </c>
      <c r="H26" s="18" t="n"/>
      <c r="I26" s="18" t="n"/>
    </row>
    <row r="27">
      <c r="A27" s="18" t="n"/>
      <c r="B27" s="38" t="n"/>
      <c r="C27" s="39" t="n"/>
      <c r="D27" s="40" t="n">
        <v>0</v>
      </c>
      <c r="H27" s="18" t="n"/>
      <c r="I27" s="18" t="n"/>
    </row>
    <row r="28">
      <c r="A28" s="18" t="n"/>
      <c r="B28" s="38" t="n"/>
      <c r="C28" s="39" t="n"/>
      <c r="D28" s="41" t="n">
        <v>0.1693242875422887</v>
      </c>
      <c r="H28" s="18" t="n"/>
      <c r="I28" s="18" t="n"/>
    </row>
    <row r="29">
      <c r="A29" s="18" t="n"/>
      <c r="B29" s="38" t="n"/>
      <c r="C29" s="39" t="n"/>
      <c r="D29" s="40" t="n">
        <v>0.1429873948373629</v>
      </c>
      <c r="H29" s="18" t="n"/>
      <c r="I29" s="18" t="n"/>
    </row>
    <row r="30">
      <c r="A30" s="18" t="n"/>
      <c r="B30" s="38" t="n"/>
      <c r="C30" s="39" t="n"/>
      <c r="D30" s="40" t="n">
        <v>0.1457465204325282</v>
      </c>
      <c r="H30" s="18" t="n"/>
      <c r="I30" s="18" t="n"/>
    </row>
    <row r="31">
      <c r="A31" s="18" t="n"/>
      <c r="B31" s="38" t="n"/>
      <c r="C31" s="39" t="n">
        <v>0.2630070027130529</v>
      </c>
      <c r="D31" s="40" t="n">
        <v>0.2781630766943571</v>
      </c>
      <c r="H31" s="18" t="n"/>
      <c r="I31" s="18" t="n"/>
    </row>
    <row r="32">
      <c r="A32" s="18" t="n"/>
      <c r="B32" s="38" t="n"/>
      <c r="C32" s="39" t="n">
        <v>0.3841853847783687</v>
      </c>
      <c r="D32" s="40" t="n">
        <v>0.1929099673882945</v>
      </c>
      <c r="H32" s="18" t="n"/>
      <c r="I32" s="18" t="n"/>
    </row>
    <row r="33">
      <c r="A33" s="18" t="n"/>
      <c r="B33" s="38" t="n"/>
      <c r="C33" s="39" t="n">
        <v>0.1131315853199219</v>
      </c>
      <c r="D33" s="40" t="n">
        <v>0</v>
      </c>
      <c r="H33" s="18" t="n"/>
      <c r="I33" s="18" t="n"/>
    </row>
    <row r="34">
      <c r="A34" s="18" t="n"/>
      <c r="B34" s="38" t="n"/>
      <c r="C34" s="42" t="n">
        <v>0.2396760271886557</v>
      </c>
      <c r="D34" s="43" t="n">
        <v>0.038678687488611</v>
      </c>
      <c r="E34" s="16" t="inlineStr">
        <is>
          <t>PERÍODO MAIS RECENTE</t>
        </is>
      </c>
      <c r="H34" s="18" t="n"/>
      <c r="I34" s="18" t="n"/>
    </row>
    <row r="35">
      <c r="A35" s="18" t="n"/>
      <c r="B35" s="44" t="inlineStr">
        <is>
          <t>Soma dos pesos (= 1,00)</t>
        </is>
      </c>
      <c r="C35" s="45">
        <f>SUM(C15:C34)</f>
        <v/>
      </c>
      <c r="D35" s="45">
        <f>SUM(D15:D34)</f>
        <v/>
      </c>
      <c r="H35" s="18" t="n"/>
      <c r="I35" s="18" t="n"/>
    </row>
    <row r="36">
      <c r="A36" s="18" t="n"/>
      <c r="B36" s="3" t="n"/>
      <c r="C36" s="6" t="n"/>
      <c r="D36" s="6" t="n"/>
      <c r="H36" s="18" t="n"/>
      <c r="I36" s="18" t="n"/>
    </row>
    <row r="37" ht="13.95" customHeight="1">
      <c r="A37" s="4" t="n">
        <v>1</v>
      </c>
      <c r="B37" s="3" t="n">
        <v>458.0367548864155</v>
      </c>
    </row>
    <row r="38" ht="13.95" customHeight="1">
      <c r="A38" s="4" t="n">
        <v>2</v>
      </c>
      <c r="B38" s="3" t="n">
        <v>444.6949549420884</v>
      </c>
      <c r="C38" s="17" t="n"/>
    </row>
    <row r="39" ht="13.95" customHeight="1">
      <c r="A39" s="4" t="n">
        <v>3</v>
      </c>
      <c r="B39" s="3" t="n">
        <v>581.6232811342767</v>
      </c>
      <c r="C39" s="17" t="n"/>
      <c r="D39" s="7" t="n"/>
      <c r="E39" s="7" t="n"/>
      <c r="H39" s="3" t="n"/>
    </row>
    <row r="40" ht="13.95" customHeight="1">
      <c r="A40" s="4" t="n">
        <v>4</v>
      </c>
      <c r="B40" s="3" t="n">
        <v>588.3543135599891</v>
      </c>
      <c r="C40" s="17" t="n"/>
      <c r="D40" s="7" t="n"/>
      <c r="E40" s="7" t="n"/>
      <c r="H40" s="3" t="n"/>
      <c r="I40" s="3" t="n"/>
    </row>
    <row r="41" ht="13.95" customHeight="1">
      <c r="A41" s="4" t="n">
        <v>5</v>
      </c>
      <c r="B41" s="3" t="n">
        <v>517.6502638533758</v>
      </c>
      <c r="C41" s="17">
        <f>SUMPRODUCT(B37:B40,$C$31:$C$34)</f>
        <v/>
      </c>
      <c r="D41" s="7" t="n"/>
      <c r="E41" s="7" t="n"/>
      <c r="H41" s="3">
        <f>ABS(C41-B41)</f>
        <v/>
      </c>
      <c r="I41" s="3" t="n"/>
    </row>
    <row r="42" ht="13.95" customHeight="1">
      <c r="A42" s="4" t="n">
        <v>6</v>
      </c>
      <c r="B42" s="3" t="n">
        <v>429.7634464813131</v>
      </c>
      <c r="C42" s="17">
        <f>SUMPRODUCT(B38:B41,$C$31:$C$34)</f>
        <v/>
      </c>
      <c r="D42" s="7" t="n"/>
      <c r="E42" s="7" t="n"/>
      <c r="H42" s="3">
        <f>ABS(C42-B42)</f>
        <v/>
      </c>
      <c r="I42" s="3" t="n"/>
    </row>
    <row r="43" ht="13.95" customHeight="1">
      <c r="A43" s="4" t="n">
        <v>7</v>
      </c>
      <c r="B43" s="3" t="n">
        <v>540.5747146948689</v>
      </c>
      <c r="C43" s="17">
        <f>SUMPRODUCT(B39:B42,$C$31:$C$34)</f>
        <v/>
      </c>
      <c r="D43" s="17" t="n"/>
      <c r="E43" s="7" t="n"/>
      <c r="H43" s="3">
        <f>ABS(C43-B43)</f>
        <v/>
      </c>
      <c r="I43" s="3" t="n"/>
    </row>
    <row r="44" ht="13.95" customHeight="1">
      <c r="A44" s="4" t="n">
        <v>8</v>
      </c>
      <c r="B44" s="3" t="n">
        <v>523.6865100523387</v>
      </c>
      <c r="C44" s="17">
        <f>SUMPRODUCT(B40:B43,$C$31:$C$34)</f>
        <v/>
      </c>
      <c r="D44" s="17" t="n"/>
      <c r="E44" s="7" t="n"/>
      <c r="H44" s="3">
        <f>ABS(C44-B44)</f>
        <v/>
      </c>
      <c r="I44" s="3" t="n"/>
    </row>
    <row r="45" ht="13.95" customHeight="1">
      <c r="A45" s="4" t="n">
        <v>9</v>
      </c>
      <c r="B45" s="3" t="n">
        <v>483.7198037298032</v>
      </c>
      <c r="C45" s="17">
        <f>SUMPRODUCT(B41:B44,$C$31:$C$34)</f>
        <v/>
      </c>
      <c r="D45" s="17" t="n"/>
      <c r="E45" s="7" t="n"/>
      <c r="H45" s="3">
        <f>ABS(C45-B45)</f>
        <v/>
      </c>
      <c r="I45" s="3" t="n"/>
    </row>
    <row r="46" ht="13.95" customHeight="1">
      <c r="A46" s="4" t="n">
        <v>10</v>
      </c>
      <c r="B46" s="3" t="n">
        <v>522.9568385356378</v>
      </c>
      <c r="C46" s="17">
        <f>SUMPRODUCT(B42:B45,$C$31:$C$34)</f>
        <v/>
      </c>
      <c r="D46" s="17" t="n"/>
      <c r="E46" s="7" t="n"/>
      <c r="H46" s="3">
        <f>ABS(C46-B46)</f>
        <v/>
      </c>
      <c r="I46" s="3" t="n"/>
    </row>
    <row r="47" ht="13.95" customHeight="1">
      <c r="A47" s="4" t="n">
        <v>11</v>
      </c>
      <c r="B47" s="3" t="n">
        <v>537.0147203264746</v>
      </c>
      <c r="C47" s="17">
        <f>SUMPRODUCT(B43:B46,$C$31:$C$34)</f>
        <v/>
      </c>
      <c r="D47" s="17" t="n"/>
      <c r="E47" s="7" t="n"/>
      <c r="H47" s="3">
        <f>ABS(C47-B47)</f>
        <v/>
      </c>
      <c r="I47" s="3" t="n"/>
    </row>
    <row r="48" ht="13.95" customHeight="1">
      <c r="A48" s="4" t="n">
        <v>12</v>
      </c>
      <c r="B48" s="3" t="n">
        <v>540.1443580112651</v>
      </c>
      <c r="C48" s="17">
        <f>SUMPRODUCT(B44:B47,$C$31:$C$34)</f>
        <v/>
      </c>
      <c r="D48" s="17" t="n"/>
      <c r="E48" s="7" t="n"/>
      <c r="H48" s="3">
        <f>ABS(C48-B48)</f>
        <v/>
      </c>
      <c r="I48" s="3" t="n"/>
    </row>
    <row r="49" ht="13.95" customHeight="1">
      <c r="A49" s="4" t="n">
        <v>13</v>
      </c>
      <c r="B49" s="3" t="n">
        <v>328.8879448757469</v>
      </c>
      <c r="C49" s="17">
        <f>SUMPRODUCT(B45:B48,$C$31:$C$34)</f>
        <v/>
      </c>
      <c r="D49" s="17">
        <f>SUMPRODUCT(B37:B48,$D$23:$D$34)</f>
        <v/>
      </c>
      <c r="E49" s="7" t="n"/>
      <c r="H49" s="3">
        <f>ABS(C49-B49)</f>
        <v/>
      </c>
      <c r="I49" s="3">
        <f>ABS(D49-B49)</f>
        <v/>
      </c>
    </row>
    <row r="50" ht="13.95" customHeight="1">
      <c r="A50" s="4" t="n">
        <v>14</v>
      </c>
      <c r="B50" s="3" t="n">
        <v>450.0707891105695</v>
      </c>
      <c r="C50" s="17">
        <f>SUMPRODUCT(B46:B49,$C$31:$C$34)</f>
        <v/>
      </c>
      <c r="D50" s="17">
        <f>SUMPRODUCT(B38:B49,$D$23:$D$34)</f>
        <v/>
      </c>
      <c r="E50" s="7" t="n"/>
      <c r="H50" s="3">
        <f>ABS(C50-B50)</f>
        <v/>
      </c>
      <c r="I50" s="3">
        <f>ABS(D50-B50)</f>
        <v/>
      </c>
    </row>
    <row r="51" ht="13.95" customHeight="1">
      <c r="A51" s="4" t="n">
        <v>15</v>
      </c>
      <c r="B51" s="3" t="n">
        <v>557.0478268459481</v>
      </c>
      <c r="C51" s="17">
        <f>SUMPRODUCT(B47:B50,$C$31:$C$34)</f>
        <v/>
      </c>
      <c r="D51" s="17">
        <f>SUMPRODUCT(B39:B50,$D$23:$D$34)</f>
        <v/>
      </c>
      <c r="E51" s="7" t="n"/>
      <c r="H51" s="3">
        <f>ABS(C51-B51)</f>
        <v/>
      </c>
      <c r="I51" s="3">
        <f>ABS(D51-B51)</f>
        <v/>
      </c>
    </row>
    <row r="52" ht="13.95" customHeight="1">
      <c r="A52" s="4" t="n">
        <v>16</v>
      </c>
      <c r="B52" s="3" t="n">
        <v>553.7866486244999</v>
      </c>
      <c r="C52" s="17">
        <f>SUMPRODUCT(B48:B51,$C$31:$C$34)</f>
        <v/>
      </c>
      <c r="D52" s="17">
        <f>SUMPRODUCT(B40:B51,$D$23:$D$34)</f>
        <v/>
      </c>
      <c r="E52" s="7" t="n"/>
      <c r="H52" s="3">
        <f>ABS(C52-B52)</f>
        <v/>
      </c>
      <c r="I52" s="3">
        <f>ABS(D52-B52)</f>
        <v/>
      </c>
    </row>
    <row r="53" ht="13.95" customHeight="1">
      <c r="A53" s="4" t="n">
        <v>17</v>
      </c>
      <c r="B53" s="3" t="n">
        <v>487.5109330432858</v>
      </c>
      <c r="C53" s="17">
        <f>SUMPRODUCT(B49:B52,$C$31:$C$34)</f>
        <v/>
      </c>
      <c r="D53" s="17">
        <f>SUMPRODUCT(B41:B52,$D$23:$D$34)</f>
        <v/>
      </c>
      <c r="E53" s="7" t="n"/>
      <c r="H53" s="3">
        <f>ABS(C53-B53)</f>
        <v/>
      </c>
      <c r="I53" s="3">
        <f>ABS(D53-B53)</f>
        <v/>
      </c>
    </row>
    <row r="54" ht="13.95" customHeight="1">
      <c r="A54" s="4" t="n">
        <v>18</v>
      </c>
      <c r="B54" s="3" t="n">
        <v>586.6298567391635</v>
      </c>
      <c r="C54" s="17">
        <f>SUMPRODUCT(B50:B53,$C$31:$C$34)</f>
        <v/>
      </c>
      <c r="D54" s="17">
        <f>SUMPRODUCT(B42:B53,$D$23:$D$34)</f>
        <v/>
      </c>
      <c r="E54" s="7" t="n"/>
      <c r="H54" s="3">
        <f>ABS(C54-B54)</f>
        <v/>
      </c>
      <c r="I54" s="3">
        <f>ABS(D54-B54)</f>
        <v/>
      </c>
    </row>
    <row r="55" ht="13.95" customHeight="1">
      <c r="A55" s="4" t="n">
        <v>19</v>
      </c>
      <c r="B55" s="3" t="n">
        <v>504.1247873126285</v>
      </c>
      <c r="C55" s="17">
        <f>SUMPRODUCT(B51:B54,$C$31:$C$34)</f>
        <v/>
      </c>
      <c r="D55" s="17">
        <f>SUMPRODUCT(B43:B54,$D$23:$D$34)</f>
        <v/>
      </c>
      <c r="E55" s="7" t="n"/>
      <c r="H55" s="3">
        <f>ABS(C55-B55)</f>
        <v/>
      </c>
      <c r="I55" s="3">
        <f>ABS(D55-B55)</f>
        <v/>
      </c>
    </row>
    <row r="56" ht="13.95" customHeight="1">
      <c r="A56" s="4" t="n">
        <v>20</v>
      </c>
      <c r="B56" s="3" t="n">
        <v>473.8996775729111</v>
      </c>
      <c r="C56" s="17">
        <f>SUMPRODUCT(B52:B55,$C$31:$C$34)</f>
        <v/>
      </c>
      <c r="D56" s="17">
        <f>SUMPRODUCT(B44:B55,$D$23:$D$34)</f>
        <v/>
      </c>
      <c r="E56" s="7" t="n"/>
      <c r="H56" s="3">
        <f>ABS(C56-B56)</f>
        <v/>
      </c>
      <c r="I56" s="3">
        <f>ABS(D56-B56)</f>
        <v/>
      </c>
    </row>
    <row r="57" ht="13.95" customHeight="1">
      <c r="A57" s="4" t="n">
        <v>21</v>
      </c>
      <c r="B57" s="3" t="n">
        <v>668.596879228488</v>
      </c>
      <c r="C57" s="17">
        <f>SUMPRODUCT(B53:B56,$C$31:$C$34)</f>
        <v/>
      </c>
      <c r="D57" s="17">
        <f>SUMPRODUCT(B45:B56,$D$23:$D$34)</f>
        <v/>
      </c>
      <c r="E57" s="7" t="n"/>
      <c r="H57" s="3">
        <f>ABS(C57-B57)</f>
        <v/>
      </c>
      <c r="I57" s="3">
        <f>ABS(D57-B57)</f>
        <v/>
      </c>
    </row>
    <row r="58" ht="13.95" customHeight="1">
      <c r="A58" s="4" t="n">
        <v>22</v>
      </c>
      <c r="B58" s="3" t="n">
        <v>671.2380119609583</v>
      </c>
      <c r="C58" s="17">
        <f>SUMPRODUCT(B54:B57,$C$31:$C$34)</f>
        <v/>
      </c>
      <c r="D58" s="17">
        <f>SUMPRODUCT(B46:B57,$D$23:$D$34)</f>
        <v/>
      </c>
      <c r="E58" s="7" t="n"/>
      <c r="H58" s="3">
        <f>ABS(C58-B58)</f>
        <v/>
      </c>
      <c r="I58" s="3">
        <f>ABS(D58-B58)</f>
        <v/>
      </c>
    </row>
    <row r="59" ht="13.95" customHeight="1">
      <c r="A59" s="4" t="n">
        <v>23</v>
      </c>
      <c r="B59" s="3" t="n">
        <v>535.0875471197036</v>
      </c>
      <c r="C59" s="17">
        <f>SUMPRODUCT(B55:B58,$C$31:$C$34)</f>
        <v/>
      </c>
      <c r="D59" s="17">
        <f>SUMPRODUCT(B47:B58,$D$23:$D$34)</f>
        <v/>
      </c>
      <c r="E59" s="7" t="n"/>
      <c r="H59" s="3">
        <f>ABS(C59-B59)</f>
        <v/>
      </c>
      <c r="I59" s="3">
        <f>ABS(D59-B59)</f>
        <v/>
      </c>
    </row>
    <row r="60" ht="13.95" customHeight="1">
      <c r="A60" s="4" t="n">
        <v>24</v>
      </c>
      <c r="B60" s="3" t="n">
        <v>461.0088045324321</v>
      </c>
      <c r="C60" s="17">
        <f>SUMPRODUCT(B56:B59,$C$31:$C$34)</f>
        <v/>
      </c>
      <c r="D60" s="17">
        <f>SUMPRODUCT(B48:B59,$D$23:$D$34)</f>
        <v/>
      </c>
      <c r="E60" s="7" t="n"/>
      <c r="H60" s="3">
        <f>ABS(C60-B60)</f>
        <v/>
      </c>
      <c r="I60" s="3">
        <f>ABS(D60-B60)</f>
        <v/>
      </c>
    </row>
    <row r="61" ht="13.95" customHeight="1">
      <c r="A61" s="4" t="n">
        <v>25</v>
      </c>
      <c r="B61" s="3" t="n">
        <v>617.2416528779603</v>
      </c>
      <c r="C61" s="17">
        <f>SUMPRODUCT(B57:B60,$C$31:$C$34)</f>
        <v/>
      </c>
      <c r="D61" s="17">
        <f>SUMPRODUCT(B49:B60,$D$23:$D$34)</f>
        <v/>
      </c>
      <c r="E61" s="7" t="n"/>
      <c r="H61" s="3">
        <f>ABS(C61-B61)</f>
        <v/>
      </c>
      <c r="I61" s="3">
        <f>ABS(D61-B61)</f>
        <v/>
      </c>
    </row>
    <row r="62" ht="13.95" customHeight="1">
      <c r="A62" s="4" t="n">
        <v>26</v>
      </c>
      <c r="B62" s="3" t="n">
        <v>582.2057968935621</v>
      </c>
      <c r="C62" s="17">
        <f>SUMPRODUCT(B58:B61,$C$31:$C$34)</f>
        <v/>
      </c>
      <c r="D62" s="17">
        <f>SUMPRODUCT(B50:B61,$D$23:$D$34)</f>
        <v/>
      </c>
      <c r="E62" s="7" t="n"/>
      <c r="H62" s="3">
        <f>ABS(C62-B62)</f>
        <v/>
      </c>
      <c r="I62" s="3">
        <f>ABS(D62-B62)</f>
        <v/>
      </c>
    </row>
    <row r="63" ht="13.95" customHeight="1">
      <c r="A63" s="4" t="n">
        <v>27</v>
      </c>
      <c r="B63" s="3" t="n">
        <v>488.2929004119051</v>
      </c>
      <c r="C63" s="17">
        <f>SUMPRODUCT(B59:B62,$C$31:$C$34)</f>
        <v/>
      </c>
      <c r="D63" s="17">
        <f>SUMPRODUCT(B51:B62,$D$23:$D$34)</f>
        <v/>
      </c>
      <c r="E63" s="7" t="n"/>
      <c r="H63" s="3">
        <f>ABS(C63-B63)</f>
        <v/>
      </c>
      <c r="I63" s="3">
        <f>ABS(D63-B63)</f>
        <v/>
      </c>
    </row>
    <row r="64" ht="13.95" customHeight="1">
      <c r="A64" s="4" t="n">
        <v>28</v>
      </c>
      <c r="B64" s="3" t="n">
        <v>594.0369707523419</v>
      </c>
      <c r="C64" s="17">
        <f>SUMPRODUCT(B60:B63,$C$31:$C$34)</f>
        <v/>
      </c>
      <c r="D64" s="17">
        <f>SUMPRODUCT(B52:B63,$D$23:$D$34)</f>
        <v/>
      </c>
      <c r="E64" s="7" t="n"/>
      <c r="H64" s="3">
        <f>ABS(C64-B64)</f>
        <v/>
      </c>
      <c r="I64" s="3">
        <f>ABS(D64-B64)</f>
        <v/>
      </c>
    </row>
    <row r="65" ht="13.95" customHeight="1">
      <c r="A65" s="4" t="n">
        <v>29</v>
      </c>
      <c r="B65" s="3" t="n">
        <v>484.8339354838628</v>
      </c>
      <c r="C65" s="17">
        <f>SUMPRODUCT(B61:B64,$C$31:$C$34)</f>
        <v/>
      </c>
      <c r="D65" s="17">
        <f>SUMPRODUCT(B53:B64,$D$23:$D$34)</f>
        <v/>
      </c>
      <c r="E65" s="7" t="n"/>
      <c r="H65" s="3">
        <f>ABS(C65-B65)</f>
        <v/>
      </c>
      <c r="I65" s="3">
        <f>ABS(D65-B65)</f>
        <v/>
      </c>
    </row>
    <row r="66" ht="13.95" customHeight="1">
      <c r="A66" s="4" t="n">
        <v>30</v>
      </c>
      <c r="B66" s="3" t="n">
        <v>536.6349140377474</v>
      </c>
      <c r="C66" s="17">
        <f>SUMPRODUCT(B62:B65,$C$31:$C$34)</f>
        <v/>
      </c>
      <c r="D66" s="17">
        <f>SUMPRODUCT(B54:B65,$D$23:$D$34)</f>
        <v/>
      </c>
      <c r="E66" s="7" t="n"/>
      <c r="H66" s="3">
        <f>ABS(C66-B66)</f>
        <v/>
      </c>
      <c r="I66" s="3">
        <f>ABS(D66-B66)</f>
        <v/>
      </c>
    </row>
    <row r="67" ht="13.95" customHeight="1">
      <c r="A67" s="4" t="n">
        <v>31</v>
      </c>
      <c r="B67" s="3" t="n">
        <v>656.1050285890193</v>
      </c>
      <c r="C67" s="17">
        <f>SUMPRODUCT(B63:B66,$C$31:$C$34)</f>
        <v/>
      </c>
      <c r="D67" s="17">
        <f>SUMPRODUCT(B55:B66,$D$23:$D$34)</f>
        <v/>
      </c>
      <c r="E67" s="7" t="n"/>
      <c r="H67" s="3">
        <f>ABS(C67-B67)</f>
        <v/>
      </c>
      <c r="I67" s="3">
        <f>ABS(D67-B67)</f>
        <v/>
      </c>
    </row>
    <row r="68" ht="13.95" customHeight="1">
      <c r="A68" s="4" t="n">
        <v>32</v>
      </c>
      <c r="B68" s="3" t="n">
        <v>619.7011026482874</v>
      </c>
      <c r="C68" s="17">
        <f>SUMPRODUCT(B64:B67,$C$31:$C$34)</f>
        <v/>
      </c>
      <c r="D68" s="17">
        <f>SUMPRODUCT(B56:B67,$D$23:$D$34)</f>
        <v/>
      </c>
      <c r="E68" s="7" t="n"/>
      <c r="H68" s="3">
        <f>ABS(C68-B68)</f>
        <v/>
      </c>
      <c r="I68" s="3">
        <f>ABS(D68-B68)</f>
        <v/>
      </c>
    </row>
    <row r="69" ht="13.95" customHeight="1">
      <c r="A69" s="4" t="n">
        <v>33</v>
      </c>
      <c r="B69" s="3" t="n">
        <v>712.4955008354261</v>
      </c>
      <c r="C69" s="17">
        <f>SUMPRODUCT(B65:B68,$C$31:$C$34)</f>
        <v/>
      </c>
      <c r="D69" s="17">
        <f>SUMPRODUCT(B57:B68,$D$23:$D$34)</f>
        <v/>
      </c>
      <c r="E69" s="7" t="n"/>
      <c r="H69" s="3">
        <f>ABS(C69-B69)</f>
        <v/>
      </c>
      <c r="I69" s="3">
        <f>ABS(D69-B69)</f>
        <v/>
      </c>
    </row>
    <row r="70" ht="13.95" customHeight="1">
      <c r="A70" s="4" t="n">
        <v>34</v>
      </c>
      <c r="B70" s="3" t="n">
        <v>437.4764893531113</v>
      </c>
      <c r="C70" s="17">
        <f>SUMPRODUCT(B66:B69,$C$31:$C$34)</f>
        <v/>
      </c>
      <c r="D70" s="17">
        <f>SUMPRODUCT(B58:B69,$D$23:$D$34)</f>
        <v/>
      </c>
      <c r="E70" s="7" t="n"/>
      <c r="H70" s="3">
        <f>ABS(C70-B70)</f>
        <v/>
      </c>
      <c r="I70" s="3">
        <f>ABS(D70-B70)</f>
        <v/>
      </c>
    </row>
    <row r="71" ht="13.95" customHeight="1">
      <c r="A71" s="4" t="n">
        <v>35</v>
      </c>
      <c r="B71" s="3" t="n">
        <v>741.1017158994667</v>
      </c>
      <c r="C71" s="17">
        <f>SUMPRODUCT(B67:B70,$C$31:$C$34)</f>
        <v/>
      </c>
      <c r="D71" s="17">
        <f>SUMPRODUCT(B59:B70,$D$23:$D$34)</f>
        <v/>
      </c>
      <c r="E71" s="7" t="n"/>
      <c r="H71" s="3">
        <f>ABS(C71-B71)</f>
        <v/>
      </c>
      <c r="I71" s="3">
        <f>ABS(D71-B71)</f>
        <v/>
      </c>
    </row>
    <row r="72" ht="13.95" customHeight="1">
      <c r="A72" s="4" t="n">
        <v>36</v>
      </c>
      <c r="B72" s="3" t="n">
        <v>666.6538861188012</v>
      </c>
      <c r="C72" s="17">
        <f>SUMPRODUCT(B68:B71,$C$31:$C$34)</f>
        <v/>
      </c>
      <c r="D72" s="17">
        <f>SUMPRODUCT(B60:B71,$D$23:$D$34)</f>
        <v/>
      </c>
      <c r="E72" s="7" t="n"/>
      <c r="H72" s="3">
        <f>ABS(C72-B72)</f>
        <v/>
      </c>
      <c r="I72" s="3">
        <f>ABS(D72-B72)</f>
        <v/>
      </c>
    </row>
    <row r="73" ht="13.95" customHeight="1">
      <c r="A73" s="4" t="n">
        <v>37</v>
      </c>
      <c r="B73" s="3" t="n">
        <v>599.0863464527295</v>
      </c>
      <c r="C73" s="17">
        <f>SUMPRODUCT(B69:B72,$C$31:$C$34)</f>
        <v/>
      </c>
      <c r="D73" s="17">
        <f>SUMPRODUCT(B61:B72,$D$23:$D$34)</f>
        <v/>
      </c>
      <c r="E73" s="7" t="n"/>
      <c r="H73" s="3">
        <f>ABS(C73-B73)</f>
        <v/>
      </c>
      <c r="I73" s="3">
        <f>ABS(D73-B73)</f>
        <v/>
      </c>
    </row>
    <row r="74" ht="13.95" customHeight="1">
      <c r="A74" s="4" t="n">
        <v>38</v>
      </c>
      <c r="B74" s="3" t="n">
        <v>704.5726953306631</v>
      </c>
      <c r="C74" s="17">
        <f>SUMPRODUCT(B70:B73,$C$31:$C$34)</f>
        <v/>
      </c>
      <c r="D74" s="17">
        <f>SUMPRODUCT(B62:B73,$D$23:$D$34)</f>
        <v/>
      </c>
      <c r="E74" s="7" t="n"/>
      <c r="H74" s="3">
        <f>ABS(C74-B74)</f>
        <v/>
      </c>
      <c r="I74" s="3">
        <f>ABS(D74-B74)</f>
        <v/>
      </c>
    </row>
    <row r="75" ht="13.95" customHeight="1">
      <c r="A75" s="4" t="n">
        <v>39</v>
      </c>
      <c r="B75" s="3" t="n">
        <v>464.2031290051041</v>
      </c>
      <c r="C75" s="17">
        <f>SUMPRODUCT(B71:B74,$C$31:$C$34)</f>
        <v/>
      </c>
      <c r="D75" s="17">
        <f>SUMPRODUCT(B63:B74,$D$23:$D$34)</f>
        <v/>
      </c>
      <c r="E75" s="7" t="n"/>
      <c r="H75" s="3">
        <f>ABS(C75-B75)</f>
        <v/>
      </c>
      <c r="I75" s="3">
        <f>ABS(D75-B75)</f>
        <v/>
      </c>
    </row>
    <row r="76" ht="13.95" customHeight="1">
      <c r="A76" s="4" t="n">
        <v>40</v>
      </c>
      <c r="B76" s="3" t="n">
        <v>554.6277729826998</v>
      </c>
      <c r="C76" s="17">
        <f>SUMPRODUCT(B72:B75,$C$31:$C$34)</f>
        <v/>
      </c>
      <c r="D76" s="17">
        <f>SUMPRODUCT(B64:B75,$D$23:$D$34)</f>
        <v/>
      </c>
      <c r="E76" s="7" t="n"/>
      <c r="H76" s="3">
        <f>ABS(C76-B76)</f>
        <v/>
      </c>
      <c r="I76" s="3">
        <f>ABS(D76-B76)</f>
        <v/>
      </c>
    </row>
    <row r="77" ht="13.95" customHeight="1">
      <c r="A77" s="4" t="n">
        <v>41</v>
      </c>
      <c r="B77" s="3" t="n">
        <v>768.6292961638529</v>
      </c>
      <c r="C77" s="17">
        <f>SUMPRODUCT(B73:B76,$C$31:$C$34)</f>
        <v/>
      </c>
      <c r="D77" s="17">
        <f>SUMPRODUCT(B65:B76,$D$23:$D$34)</f>
        <v/>
      </c>
      <c r="E77" s="7" t="n"/>
      <c r="H77" s="3">
        <f>ABS(C77-B77)</f>
        <v/>
      </c>
      <c r="I77" s="3">
        <f>ABS(D77-B77)</f>
        <v/>
      </c>
    </row>
    <row r="78" ht="13.95" customHeight="1">
      <c r="A78" s="4" t="n">
        <v>42</v>
      </c>
      <c r="B78" s="3" t="n">
        <v>655.6158021552692</v>
      </c>
      <c r="C78" s="17">
        <f>SUMPRODUCT(B74:B77,$C$31:$C$34)</f>
        <v/>
      </c>
      <c r="D78" s="17">
        <f>SUMPRODUCT(B66:B77,$D$23:$D$34)</f>
        <v/>
      </c>
      <c r="E78" s="7" t="n"/>
      <c r="H78" s="3">
        <f>ABS(C78-B78)</f>
        <v/>
      </c>
      <c r="I78" s="3">
        <f>ABS(D78-B78)</f>
        <v/>
      </c>
    </row>
    <row r="79" ht="13.95" customHeight="1">
      <c r="A79" s="4" t="n">
        <v>43</v>
      </c>
      <c r="B79" s="3" t="n">
        <v>585.6425408239791</v>
      </c>
      <c r="C79" s="17">
        <f>SUMPRODUCT(B75:B78,$C$31:$C$34)</f>
        <v/>
      </c>
      <c r="D79" s="17">
        <f>SUMPRODUCT(B67:B78,$D$23:$D$34)</f>
        <v/>
      </c>
      <c r="E79" s="7" t="n"/>
      <c r="H79" s="3">
        <f>ABS(C79-B79)</f>
        <v/>
      </c>
      <c r="I79" s="3">
        <f>ABS(D79-B79)</f>
        <v/>
      </c>
    </row>
    <row r="80" ht="13.95" customHeight="1">
      <c r="A80" s="4" t="n">
        <v>44</v>
      </c>
      <c r="B80" s="3" t="n">
        <v>754.3676080290662</v>
      </c>
      <c r="C80" s="17">
        <f>SUMPRODUCT(B76:B79,$C$31:$C$34)</f>
        <v/>
      </c>
      <c r="D80" s="17">
        <f>SUMPRODUCT(B68:B79,$D$23:$D$34)</f>
        <v/>
      </c>
      <c r="E80" s="7" t="n"/>
      <c r="H80" s="3">
        <f>ABS(C80-B80)</f>
        <v/>
      </c>
      <c r="I80" s="3">
        <f>ABS(D80-B80)</f>
        <v/>
      </c>
    </row>
    <row r="81" ht="13.95" customHeight="1">
      <c r="A81" s="4" t="n">
        <v>45</v>
      </c>
      <c r="B81" s="3" t="n">
        <v>739.2183777897757</v>
      </c>
      <c r="C81" s="17">
        <f>SUMPRODUCT(B77:B80,$C$31:$C$34)</f>
        <v/>
      </c>
      <c r="D81" s="17">
        <f>SUMPRODUCT(B69:B80,$D$23:$D$34)</f>
        <v/>
      </c>
      <c r="E81" s="7" t="n"/>
      <c r="H81" s="3">
        <f>ABS(C81-B81)</f>
        <v/>
      </c>
      <c r="I81" s="3">
        <f>ABS(D81-B81)</f>
        <v/>
      </c>
    </row>
    <row r="82" ht="13.95" customHeight="1">
      <c r="A82" s="4" t="n">
        <v>46</v>
      </c>
      <c r="B82" s="3" t="n">
        <v>704.8170088497901</v>
      </c>
      <c r="C82" s="17">
        <f>SUMPRODUCT(B78:B81,$C$31:$C$34)</f>
        <v/>
      </c>
      <c r="D82" s="17">
        <f>SUMPRODUCT(B70:B81,$D$23:$D$34)</f>
        <v/>
      </c>
      <c r="E82" s="7" t="n"/>
      <c r="H82" s="3">
        <f>ABS(C82-B82)</f>
        <v/>
      </c>
      <c r="I82" s="3">
        <f>ABS(D82-B82)</f>
        <v/>
      </c>
    </row>
    <row r="83" ht="13.95" customHeight="1">
      <c r="A83" s="4" t="n">
        <v>47</v>
      </c>
      <c r="B83" s="3" t="n">
        <v>654.3451623569471</v>
      </c>
      <c r="C83" s="17">
        <f>SUMPRODUCT(B79:B82,$C$31:$C$34)</f>
        <v/>
      </c>
      <c r="D83" s="17">
        <f>SUMPRODUCT(B71:B82,$D$23:$D$34)</f>
        <v/>
      </c>
      <c r="E83" s="7" t="n"/>
      <c r="H83" s="3">
        <f>ABS(C83-B83)</f>
        <v/>
      </c>
      <c r="I83" s="3">
        <f>ABS(D83-B83)</f>
        <v/>
      </c>
    </row>
    <row r="84" ht="13.95" customHeight="1">
      <c r="A84" s="4" t="n">
        <v>48</v>
      </c>
      <c r="B84" s="3" t="n">
        <v>713.8448696711447</v>
      </c>
      <c r="C84" s="17">
        <f>SUMPRODUCT(B80:B83,$C$31:$C$34)</f>
        <v/>
      </c>
      <c r="D84" s="17">
        <f>SUMPRODUCT(B72:B83,$D$23:$D$34)</f>
        <v/>
      </c>
      <c r="E84" s="7" t="n"/>
      <c r="H84" s="3">
        <f>ABS(C84-B84)</f>
        <v/>
      </c>
      <c r="I84" s="3">
        <f>ABS(D84-B84)</f>
        <v/>
      </c>
    </row>
    <row r="85" ht="13.95" customHeight="1">
      <c r="A85" s="4" t="n">
        <v>49</v>
      </c>
      <c r="B85" s="3" t="n">
        <v>711.0742915936551</v>
      </c>
      <c r="C85" s="17">
        <f>SUMPRODUCT(B81:B84,$C$31:$C$34)</f>
        <v/>
      </c>
      <c r="D85" s="17">
        <f>SUMPRODUCT(B73:B84,$D$23:$D$34)</f>
        <v/>
      </c>
      <c r="E85" s="7" t="n"/>
      <c r="H85" s="3">
        <f>ABS(C85-B85)</f>
        <v/>
      </c>
      <c r="I85" s="3">
        <f>ABS(D85-B85)</f>
        <v/>
      </c>
    </row>
    <row r="86" ht="13.95" customHeight="1">
      <c r="A86" s="4" t="n">
        <v>50</v>
      </c>
      <c r="B86" s="3" t="n">
        <v>712.7343667167822</v>
      </c>
      <c r="C86" s="17">
        <f>SUMPRODUCT(B82:B85,$C$31:$C$34)</f>
        <v/>
      </c>
      <c r="D86" s="17">
        <f>SUMPRODUCT(B74:B85,$D$23:$D$34)</f>
        <v/>
      </c>
      <c r="E86" s="7" t="n"/>
      <c r="H86" s="3">
        <f>ABS(C86-B86)</f>
        <v/>
      </c>
      <c r="I86" s="3">
        <f>ABS(D86-B86)</f>
        <v/>
      </c>
    </row>
    <row r="87" ht="13.95" customHeight="1">
      <c r="A87" s="4" t="n">
        <v>51</v>
      </c>
      <c r="B87" s="3" t="n">
        <v>807.2168282213235</v>
      </c>
      <c r="C87" s="17">
        <f>SUMPRODUCT(B83:B86,$C$31:$C$34)</f>
        <v/>
      </c>
      <c r="D87" s="17">
        <f>SUMPRODUCT(B75:B86,$D$23:$D$34)</f>
        <v/>
      </c>
      <c r="E87" s="7" t="n"/>
      <c r="H87" s="3">
        <f>ABS(C87-B87)</f>
        <v/>
      </c>
      <c r="I87" s="3">
        <f>ABS(D87-B87)</f>
        <v/>
      </c>
    </row>
    <row r="88" ht="13.95" customHeight="1">
      <c r="A88" s="4" t="n">
        <v>52</v>
      </c>
      <c r="B88" s="3" t="n">
        <v>656.423674237619</v>
      </c>
      <c r="C88" s="17">
        <f>SUMPRODUCT(B84:B87,$C$31:$C$34)</f>
        <v/>
      </c>
      <c r="D88" s="17">
        <f>SUMPRODUCT(B76:B87,$D$23:$D$34)</f>
        <v/>
      </c>
      <c r="E88" s="7" t="n"/>
      <c r="H88" s="3">
        <f>ABS(C88-B88)</f>
        <v/>
      </c>
      <c r="I88" s="3">
        <f>ABS(D88-B88)</f>
        <v/>
      </c>
    </row>
    <row r="89" ht="13.95" customHeight="1">
      <c r="A89" s="4" t="n">
        <v>53</v>
      </c>
      <c r="B89" s="3" t="n">
        <v>730.914624903957</v>
      </c>
      <c r="C89" s="17">
        <f>SUMPRODUCT(B85:B88,$C$31:$C$34)</f>
        <v/>
      </c>
      <c r="D89" s="17">
        <f>SUMPRODUCT(B77:B88,$D$23:$D$34)</f>
        <v/>
      </c>
      <c r="E89" s="7" t="n"/>
      <c r="H89" s="3">
        <f>ABS(C89-B89)</f>
        <v/>
      </c>
      <c r="I89" s="3">
        <f>ABS(D89-B89)</f>
        <v/>
      </c>
    </row>
    <row r="90" ht="13.95" customHeight="1">
      <c r="A90" s="4" t="n">
        <v>54</v>
      </c>
      <c r="B90" s="3" t="n">
        <v>640.0700560022776</v>
      </c>
      <c r="C90" s="17">
        <f>SUMPRODUCT(B86:B89,$C$31:$C$34)</f>
        <v/>
      </c>
      <c r="D90" s="17">
        <f>SUMPRODUCT(B78:B89,$D$23:$D$34)</f>
        <v/>
      </c>
      <c r="E90" s="7" t="n"/>
      <c r="H90" s="3">
        <f>ABS(C90-B90)</f>
        <v/>
      </c>
      <c r="I90" s="3">
        <f>ABS(D90-B90)</f>
        <v/>
      </c>
    </row>
    <row r="91" ht="13.95" customHeight="1">
      <c r="A91" s="4" t="n">
        <v>55</v>
      </c>
      <c r="B91" s="3" t="n">
        <v>772.4803354482505</v>
      </c>
      <c r="C91" s="17">
        <f>SUMPRODUCT(B87:B90,$C$31:$C$34)</f>
        <v/>
      </c>
      <c r="D91" s="17">
        <f>SUMPRODUCT(B79:B90,$D$23:$D$34)</f>
        <v/>
      </c>
      <c r="E91" s="7" t="n"/>
      <c r="H91" s="3">
        <f>ABS(C91-B91)</f>
        <v/>
      </c>
      <c r="I91" s="3">
        <f>ABS(D91-B91)</f>
        <v/>
      </c>
    </row>
    <row r="92" ht="13.95" customHeight="1">
      <c r="A92" s="4" t="n">
        <v>56</v>
      </c>
      <c r="B92" s="3" t="n">
        <v>692.9492519087588</v>
      </c>
      <c r="C92" s="17">
        <f>SUMPRODUCT(B88:B91,$C$31:$C$34)</f>
        <v/>
      </c>
      <c r="D92" s="17">
        <f>SUMPRODUCT(B80:B91,$D$23:$D$34)</f>
        <v/>
      </c>
      <c r="E92" s="7" t="n"/>
      <c r="H92" s="3">
        <f>ABS(C92-B92)</f>
        <v/>
      </c>
      <c r="I92" s="3">
        <f>ABS(D92-B92)</f>
        <v/>
      </c>
    </row>
    <row r="93" ht="13.95" customHeight="1">
      <c r="A93" s="4" t="n">
        <v>57</v>
      </c>
      <c r="B93" s="3" t="n">
        <v>743.081492757133</v>
      </c>
      <c r="C93" s="17">
        <f>SUMPRODUCT(B89:B92,$C$31:$C$34)</f>
        <v/>
      </c>
      <c r="D93" s="17">
        <f>SUMPRODUCT(B81:B92,$D$23:$D$34)</f>
        <v/>
      </c>
      <c r="E93" s="7" t="n"/>
      <c r="H93" s="3">
        <f>ABS(C93-B93)</f>
        <v/>
      </c>
      <c r="I93" s="3">
        <f>ABS(D93-B93)</f>
        <v/>
      </c>
    </row>
    <row r="94" ht="13.95" customHeight="1">
      <c r="A94" s="4" t="n">
        <v>58</v>
      </c>
      <c r="B94" s="3" t="n">
        <v>606.6821566489475</v>
      </c>
      <c r="C94" s="17">
        <f>SUMPRODUCT(B90:B93,$C$31:$C$34)</f>
        <v/>
      </c>
      <c r="D94" s="17">
        <f>SUMPRODUCT(B82:B93,$D$23:$D$34)</f>
        <v/>
      </c>
      <c r="E94" s="7" t="n"/>
      <c r="H94" s="3">
        <f>ABS(C94-B94)</f>
        <v/>
      </c>
      <c r="I94" s="3">
        <f>ABS(D94-B94)</f>
        <v/>
      </c>
    </row>
    <row r="95" ht="13.95" customHeight="1">
      <c r="A95" s="4" t="n">
        <v>59</v>
      </c>
      <c r="B95" s="3" t="n">
        <v>725.1732220017825</v>
      </c>
      <c r="C95" s="17">
        <f>SUMPRODUCT(B91:B94,$C$31:$C$34)</f>
        <v/>
      </c>
      <c r="D95" s="17">
        <f>SUMPRODUCT(B83:B94,$D$23:$D$34)</f>
        <v/>
      </c>
      <c r="E95" s="7" t="n"/>
      <c r="H95" s="3">
        <f>ABS(C95-B95)</f>
        <v/>
      </c>
      <c r="I95" s="3">
        <f>ABS(D95-B95)</f>
        <v/>
      </c>
    </row>
    <row r="96" ht="13.95" customHeight="1">
      <c r="A96" s="4" t="n">
        <v>60</v>
      </c>
      <c r="B96" s="3" t="n">
        <v>747.7513072798505</v>
      </c>
      <c r="C96" s="17">
        <f>SUMPRODUCT(B92:B95,$C$31:$C$34)</f>
        <v/>
      </c>
      <c r="D96" s="17">
        <f>SUMPRODUCT(B84:B95,$D$23:$D$34)</f>
        <v/>
      </c>
      <c r="E96" s="7" t="n"/>
      <c r="H96" s="3">
        <f>ABS(C96-B96)</f>
        <v/>
      </c>
      <c r="I96" s="3">
        <f>ABS(D96-B96)</f>
        <v/>
      </c>
    </row>
    <row r="97" ht="13.95" customHeight="1">
      <c r="A97" s="4" t="n">
        <v>61</v>
      </c>
      <c r="C97" s="17">
        <f>SUMPRODUCT(B93:B96,$C$31:$C$34)</f>
        <v/>
      </c>
      <c r="D97" s="17">
        <f>SUMPRODUCT(B85:B96,$D$23:$D$34)</f>
        <v/>
      </c>
      <c r="E97" s="7" t="n"/>
    </row>
    <row r="98" ht="13.95" customHeight="1">
      <c r="A98" s="4" t="n">
        <v>62</v>
      </c>
      <c r="C98" s="17">
        <f>SUMPRODUCT($B$93:$B$96,$C$31:$C$34)</f>
        <v/>
      </c>
      <c r="D98" s="17">
        <f>SUMPRODUCT($B$85:$B$96,$D$23:$D$34)</f>
        <v/>
      </c>
      <c r="E98" s="7" t="n"/>
      <c r="G98" s="46" t="inlineStr">
        <is>
          <t>MAD →</t>
        </is>
      </c>
      <c r="H98" s="15">
        <f>AVERAGE(H41:H96)</f>
        <v/>
      </c>
      <c r="I98" s="15">
        <f>AVERAGE(I49:I96)</f>
        <v/>
      </c>
    </row>
    <row r="99" ht="13.95" customHeight="1">
      <c r="A99" s="4" t="n">
        <v>63</v>
      </c>
      <c r="C99" s="17">
        <f>SUMPRODUCT($B$93:$B$96,$C$31:$C$34)</f>
        <v/>
      </c>
      <c r="D99" s="17">
        <f>SUMPRODUCT($B$85:$B$96,$D$23:$D$34)</f>
        <v/>
      </c>
      <c r="E99" s="7" t="n"/>
      <c r="H99" s="14" t="n"/>
      <c r="I99" s="14" t="n"/>
    </row>
    <row r="100" ht="13.95" customHeight="1">
      <c r="A100" s="4" t="n">
        <v>64</v>
      </c>
      <c r="C100" s="17">
        <f>SUMPRODUCT($B$93:$B$96,$C$31:$C$34)</f>
        <v/>
      </c>
      <c r="D100" s="17">
        <f>SUMPRODUCT($B$85:$B$96,$D$23:$D$34)</f>
        <v/>
      </c>
      <c r="E100" s="7" t="n"/>
    </row>
    <row r="101" ht="13.95" customHeight="1">
      <c r="A101" s="4" t="n">
        <v>65</v>
      </c>
      <c r="C101" s="17">
        <f>SUMPRODUCT($B$93:$B$96,$C$31:$C$34)</f>
        <v/>
      </c>
      <c r="D101" s="17">
        <f>SUMPRODUCT($B$85:$B$96,$D$23:$D$34)</f>
        <v/>
      </c>
      <c r="E101" s="7" t="n"/>
    </row>
    <row r="102" ht="13.95" customHeight="1">
      <c r="A102" s="4" t="n">
        <v>66</v>
      </c>
      <c r="C102" s="17">
        <f>SUMPRODUCT($B$93:$B$96,$C$31:$C$34)</f>
        <v/>
      </c>
      <c r="D102" s="17">
        <f>SUMPRODUCT($B$85:$B$96,$D$23:$D$34)</f>
        <v/>
      </c>
      <c r="E102" s="7" t="n"/>
    </row>
    <row r="103" ht="13.95" customHeight="1">
      <c r="A103" s="4" t="n">
        <v>67</v>
      </c>
      <c r="C103" s="17">
        <f>SUMPRODUCT($B$93:$B$96,$C$31:$C$34)</f>
        <v/>
      </c>
      <c r="D103" s="17">
        <f>SUMPRODUCT($B$85:$B$96,$D$23:$D$34)</f>
        <v/>
      </c>
      <c r="E103" s="7" t="n"/>
    </row>
    <row r="104" ht="13.95" customHeight="1">
      <c r="A104" s="4" t="n">
        <v>68</v>
      </c>
      <c r="C104" s="17">
        <f>SUMPRODUCT($B$93:$B$96,$C$31:$C$34)</f>
        <v/>
      </c>
      <c r="D104" s="17">
        <f>SUMPRODUCT($B$85:$B$96,$D$23:$D$34)</f>
        <v/>
      </c>
      <c r="E104" s="7" t="n"/>
    </row>
    <row r="105" ht="13.95" customHeight="1">
      <c r="A105" s="4" t="n">
        <v>69</v>
      </c>
      <c r="C105" s="17">
        <f>SUMPRODUCT($B$93:$B$96,$C$31:$C$34)</f>
        <v/>
      </c>
      <c r="D105" s="17">
        <f>SUMPRODUCT($B$85:$B$96,$D$23:$D$34)</f>
        <v/>
      </c>
      <c r="E105" s="7" t="n"/>
    </row>
    <row r="106" ht="13.95" customHeight="1">
      <c r="A106" s="4" t="n">
        <v>70</v>
      </c>
      <c r="C106" s="17">
        <f>SUMPRODUCT($B$93:$B$96,$C$31:$C$34)</f>
        <v/>
      </c>
      <c r="D106" s="17">
        <f>SUMPRODUCT($B$85:$B$96,$D$23:$D$34)</f>
        <v/>
      </c>
      <c r="E106" s="7" t="n"/>
    </row>
    <row r="107" ht="13.95" customHeight="1">
      <c r="A107" s="4" t="n">
        <v>71</v>
      </c>
      <c r="C107" s="17">
        <f>SUMPRODUCT($B$93:$B$96,$C$31:$C$34)</f>
        <v/>
      </c>
      <c r="D107" s="17">
        <f>SUMPRODUCT($B$85:$B$96,$D$23:$D$34)</f>
        <v/>
      </c>
      <c r="E107" s="7" t="n"/>
    </row>
    <row r="108" ht="13.95" customHeight="1">
      <c r="A108" s="4" t="n">
        <v>72</v>
      </c>
      <c r="C108" s="17">
        <f>SUMPRODUCT($B$93:$B$96,$C$31:$C$34)</f>
        <v/>
      </c>
      <c r="D108" s="17">
        <f>SUMPRODUCT($B$85:$B$96,$D$23:$D$34)</f>
        <v/>
      </c>
      <c r="E108" s="7" t="n"/>
    </row>
    <row r="109" ht="13.95" customHeight="1"/>
  </sheetData>
  <mergeCells count="3">
    <mergeCell ref="H11:I11"/>
    <mergeCell ref="C11:D11"/>
    <mergeCell ref="B15:B34"/>
  </mergeCells>
  <pageMargins left="0.75" right="0.75" top="1" bottom="1" header="0.492125985" footer="0.492125985"/>
  <drawing xmlns:r="http://schemas.openxmlformats.org/officeDocument/2006/relationships" r:id="rIdEnunciado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Alexandre Pignanelli</dc:creator>
  <dcterms:created xmlns:dcterms="http://purl.org/dc/terms/" xmlns:xsi="http://www.w3.org/2001/XMLSchema-instance" xsi:type="dcterms:W3CDTF">2015-08-18T00:55:40Z</dcterms:created>
  <dcterms:modified xmlns:dcterms="http://purl.org/dc/terms/" xmlns:xsi="http://www.w3.org/2001/XMLSchema-instance" xsi:type="dcterms:W3CDTF">2026-08-17T15:20:47Z</dcterms:modified>
  <cp:lastModifiedBy>GUILHERME RIZZETTO DE MELO</cp:lastModifiedBy>
</cp:coreProperties>
</file>

<file path=docProps/custom.xml><?xml version="1.0" encoding="utf-8"?>
<Properties xmlns="http://schemas.openxmlformats.org/officeDocument/2006/custom-properties">
  <property name="MSIP_Label_84f7750d-9cdf-4ba7-80aa-2c6ffdc35229_Enabled" fmtid="{D5CDD505-2E9C-101B-9397-08002B2CF9AE}" pid="2">
    <vt:lpwstr xmlns:vt="http://schemas.openxmlformats.org/officeDocument/2006/docPropsVTypes">true</vt:lpwstr>
  </property>
  <property name="MSIP_Label_84f7750d-9cdf-4ba7-80aa-2c6ffdc35229_SetDate" fmtid="{D5CDD505-2E9C-101B-9397-08002B2CF9AE}" pid="3">
    <vt:lpwstr xmlns:vt="http://schemas.openxmlformats.org/officeDocument/2006/docPropsVTypes">2026-02-09T05:58:12Z</vt:lpwstr>
  </property>
  <property name="MSIP_Label_84f7750d-9cdf-4ba7-80aa-2c6ffdc35229_Method" fmtid="{D5CDD505-2E9C-101B-9397-08002B2CF9AE}" pid="4">
    <vt:lpwstr xmlns:vt="http://schemas.openxmlformats.org/officeDocument/2006/docPropsVTypes">Standard</vt:lpwstr>
  </property>
  <property name="MSIP_Label_84f7750d-9cdf-4ba7-80aa-2c6ffdc35229_Name" fmtid="{D5CDD505-2E9C-101B-9397-08002B2CF9AE}" pid="5">
    <vt:lpwstr xmlns:vt="http://schemas.openxmlformats.org/officeDocument/2006/docPropsVTypes">Nível - 1</vt:lpwstr>
  </property>
  <property name="MSIP_Label_84f7750d-9cdf-4ba7-80aa-2c6ffdc35229_SiteId" fmtid="{D5CDD505-2E9C-101B-9397-08002B2CF9AE}" pid="6">
    <vt:lpwstr xmlns:vt="http://schemas.openxmlformats.org/officeDocument/2006/docPropsVTypes">79f6b639-ab12-4280-8077-bdbeef869b33</vt:lpwstr>
  </property>
  <property name="MSIP_Label_84f7750d-9cdf-4ba7-80aa-2c6ffdc35229_ActionId" fmtid="{D5CDD505-2E9C-101B-9397-08002B2CF9AE}" pid="7">
    <vt:lpwstr xmlns:vt="http://schemas.openxmlformats.org/officeDocument/2006/docPropsVTypes">37e185d0-5df5-47b4-b86b-b5087e46ff96</vt:lpwstr>
  </property>
  <property name="MSIP_Label_84f7750d-9cdf-4ba7-80aa-2c6ffdc35229_ContentBits" fmtid="{D5CDD505-2E9C-101B-9397-08002B2CF9AE}" pid="8">
    <vt:lpwstr xmlns:vt="http://schemas.openxmlformats.org/officeDocument/2006/docPropsVTypes">0</vt:lpwstr>
  </property>
  <property name="MSIP_Label_84f7750d-9cdf-4ba7-80aa-2c6ffdc35229_Tag" fmtid="{D5CDD505-2E9C-101B-9397-08002B2CF9AE}" pid="9">
    <vt:lpwstr xmlns:vt="http://schemas.openxmlformats.org/officeDocument/2006/docPropsVTypes">50, 3, 0, 1</vt:lpwstr>
  </property>
</Properties>
</file>