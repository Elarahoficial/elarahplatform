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880" windowWidth="36000" windowHeight="22500" tabRatio="500" firstSheet="0" activeTab="0" autoFilterDateGrouping="1"/>
  </bookViews>
  <sheets>
    <sheet name="Holt" sheetId="1" state="visible" r:id="rId1"/>
    <sheet name="Respostas" sheetId="2" state="visible" r:id="rId2"/>
    <sheet name="Holt_inicial" sheetId="3" state="visible" r:id="rId3"/>
    <sheet name="Gráfico" sheetId="4" state="visible" r:id="rId4"/>
  </sheets>
  <definedNames>
    <definedName name="anscount" hidden="1">1</definedName>
    <definedName name="limcount" hidden="1">1</definedName>
    <definedName name="sencount" hidden="1">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Holt!$G$16:$G$17</definedName>
    <definedName name="solver_lhs2" localSheetId="0" hidden="1">Holt!$G$16:$G$17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Holt!$A$15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hs1" localSheetId="0" hidden="1">1</definedName>
    <definedName name="solver_rhs2" localSheetId="0" hidden="1">0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dd\-mmm\-yy"/>
    <numFmt numFmtId="166" formatCode="0.0"/>
    <numFmt numFmtId="167" formatCode="0.000"/>
    <numFmt numFmtId="168" formatCode="0.0%"/>
  </numFmts>
  <fonts count="14">
    <font>
      <name val="Arial"/>
      <sz val="10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color theme="10"/>
      <sz val="10"/>
      <u val="single"/>
    </font>
    <font>
      <name val="Arial"/>
      <family val="2"/>
      <color theme="11"/>
      <sz val="10"/>
      <u val="single"/>
    </font>
    <font>
      <name val="Arial"/>
      <b val="1"/>
      <sz val="11"/>
    </font>
    <font>
      <name val="Arial"/>
      <b val="1"/>
      <color rgb="000000FF"/>
      <sz val="11"/>
    </font>
    <font>
      <name val="Arial"/>
      <i val="1"/>
      <sz val="10"/>
    </font>
    <font>
      <name val="Arial"/>
      <sz val="11"/>
    </font>
    <font>
      <name val="Arial"/>
      <b val="1"/>
      <sz val="12"/>
    </font>
    <font>
      <name val="Arial"/>
      <b val="1"/>
      <sz val="14"/>
    </font>
    <font>
      <name val="Arial"/>
      <b val="1"/>
      <color rgb="001F4E79"/>
      <sz val="12"/>
    </font>
    <font>
      <name val="Arial"/>
      <b val="1"/>
      <color rgb="00008000"/>
      <sz val="11"/>
    </font>
    <font>
      <name val="Arial"/>
      <color rgb="00008000"/>
      <sz val="11"/>
    </font>
  </fonts>
  <fills count="6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FFF00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3">
    <xf numFmtId="0" fontId="0" fillId="0" borderId="0"/>
    <xf numFmtId="0" fontId="3" fillId="0" borderId="0"/>
    <xf numFmtId="0" fontId="4" fillId="0" borderId="0"/>
  </cellStyleXfs>
  <cellXfs count="62">
    <xf numFmtId="0" fontId="0" fillId="0" borderId="0" pivotButton="0" quotePrefix="0" xfId="0"/>
    <xf numFmtId="164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2" fontId="1" fillId="0" borderId="0" pivotButton="0" quotePrefix="0" xfId="0"/>
    <xf numFmtId="10" fontId="1" fillId="0" borderId="0" applyAlignment="1" pivotButton="0" quotePrefix="0" xfId="0">
      <alignment horizontal="center"/>
    </xf>
    <xf numFmtId="166" fontId="1" fillId="0" borderId="0" pivotButton="0" quotePrefix="0" xfId="0"/>
    <xf numFmtId="2" fontId="2" fillId="0" borderId="0" applyAlignment="1" pivotButton="0" quotePrefix="0" xfId="0">
      <alignment horizontal="center"/>
    </xf>
    <xf numFmtId="10" fontId="2" fillId="0" borderId="0" applyAlignment="1" pivotButton="0" quotePrefix="0" xfId="0">
      <alignment horizontal="center"/>
    </xf>
    <xf numFmtId="166" fontId="1" fillId="0" borderId="0" applyAlignment="1" pivotButton="0" quotePrefix="0" xfId="0">
      <alignment horizontal="center"/>
    </xf>
    <xf numFmtId="166" fontId="2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167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167" fontId="1" fillId="2" borderId="6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  <xf numFmtId="164" fontId="6" fillId="3" borderId="7" applyAlignment="1" pivotButton="0" quotePrefix="0" xfId="0">
      <alignment horizontal="center" vertical="center"/>
    </xf>
    <xf numFmtId="167" fontId="7" fillId="2" borderId="3" applyAlignment="1" pivotButton="0" quotePrefix="0" xfId="0">
      <alignment horizontal="left" vertical="center"/>
    </xf>
    <xf numFmtId="0" fontId="5" fillId="2" borderId="4" applyAlignment="1" pivotButton="0" quotePrefix="0" xfId="0">
      <alignment horizontal="center" vertical="center"/>
    </xf>
    <xf numFmtId="167" fontId="1" fillId="2" borderId="6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/>
    </xf>
    <xf numFmtId="2" fontId="8" fillId="0" borderId="0" applyAlignment="1" pivotButton="0" quotePrefix="0" xfId="0">
      <alignment horizontal="center" vertical="center"/>
    </xf>
    <xf numFmtId="10" fontId="8" fillId="0" borderId="0" applyAlignment="1" pivotButton="0" quotePrefix="0" xfId="0">
      <alignment horizontal="center" vertical="center"/>
    </xf>
    <xf numFmtId="164" fontId="5" fillId="0" borderId="7" applyAlignment="1" pivotButton="0" quotePrefix="0" xfId="0">
      <alignment horizontal="center" vertical="center"/>
    </xf>
    <xf numFmtId="10" fontId="5" fillId="0" borderId="7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/>
    </xf>
    <xf numFmtId="166" fontId="2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0" pivotButton="0" quotePrefix="0" xfId="0"/>
    <xf numFmtId="165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4" fontId="12" fillId="0" borderId="0" applyAlignment="1" pivotButton="0" quotePrefix="0" xfId="0">
      <alignment horizontal="left" vertical="center"/>
    </xf>
    <xf numFmtId="0" fontId="5" fillId="4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left" vertical="center"/>
    </xf>
    <xf numFmtId="164" fontId="13" fillId="0" borderId="7" applyAlignment="1" pivotButton="0" quotePrefix="0" xfId="0">
      <alignment horizontal="center" vertical="center"/>
    </xf>
    <xf numFmtId="10" fontId="13" fillId="0" borderId="7" applyAlignment="1" pivotButton="0" quotePrefix="0" xfId="0">
      <alignment horizontal="center" vertical="center"/>
    </xf>
    <xf numFmtId="0" fontId="0" fillId="0" borderId="7" pivotButton="0" quotePrefix="0" xfId="0"/>
    <xf numFmtId="168" fontId="5" fillId="5" borderId="7" applyAlignment="1" pivotButton="0" quotePrefix="0" xfId="0">
      <alignment horizontal="center" vertical="center"/>
    </xf>
    <xf numFmtId="164" fontId="12" fillId="0" borderId="7" applyAlignment="1" pivotButton="0" quotePrefix="0" xfId="0">
      <alignment horizontal="center" vertical="center"/>
    </xf>
    <xf numFmtId="0" fontId="8" fillId="0" borderId="7" applyAlignment="1" pivotButton="0" quotePrefix="0" xfId="0">
      <alignment horizontal="left" vertical="center"/>
    </xf>
    <xf numFmtId="2" fontId="13" fillId="0" borderId="7" applyAlignment="1" pivotButton="0" quotePrefix="0" xfId="0">
      <alignment horizontal="center" vertical="center"/>
    </xf>
    <xf numFmtId="1" fontId="13" fillId="0" borderId="7" applyAlignment="1" pivotButton="0" quotePrefix="0" xfId="0">
      <alignment horizontal="center" vertical="center"/>
    </xf>
    <xf numFmtId="2" fontId="12" fillId="5" borderId="7" applyAlignment="1" pivotButton="0" quotePrefix="0" xfId="0">
      <alignment horizontal="center" vertical="center"/>
    </xf>
    <xf numFmtId="10" fontId="12" fillId="5" borderId="7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</cellXfs>
  <cellStyles count="3">
    <cellStyle name="Normal" xfId="0" builtinId="0"/>
    <cellStyle name="Hiperlink" xfId="1" builtinId="8" hidden="1"/>
    <cellStyle name="Hiperlink Visitado" xfId="2" builtinId="9" hidden="1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chartsheet" Target="/xl/chartsheets/sheet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scatterChart>
        <scatterStyle val="smoothMarker"/>
        <varyColors val="0"/>
        <ser>
          <idx val="0"/>
          <order val="0"/>
          <tx>
            <strRef>
              <f>Holt!$C$19</f>
              <strCache>
                <ptCount val="1"/>
                <pt idx="0">
                  <v>Preço (US$)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Holt!$A$20:$A$124</f>
              <numCache>
                <formatCode>dd\-mmm\-yy</formatCode>
                <ptCount val="105"/>
                <pt idx="0">
                  <v>40028</v>
                </pt>
                <pt idx="1">
                  <v>40029</v>
                </pt>
                <pt idx="2">
                  <v>40030</v>
                </pt>
                <pt idx="3">
                  <v>40031</v>
                </pt>
                <pt idx="4">
                  <v>40032</v>
                </pt>
                <pt idx="5">
                  <v>40035</v>
                </pt>
                <pt idx="6">
                  <v>40036</v>
                </pt>
                <pt idx="7">
                  <v>40037</v>
                </pt>
                <pt idx="8">
                  <v>40038</v>
                </pt>
                <pt idx="9">
                  <v>40039</v>
                </pt>
                <pt idx="10">
                  <v>40042</v>
                </pt>
                <pt idx="11">
                  <v>40043</v>
                </pt>
                <pt idx="12">
                  <v>40044</v>
                </pt>
                <pt idx="13">
                  <v>40045</v>
                </pt>
                <pt idx="14">
                  <v>40046</v>
                </pt>
                <pt idx="15">
                  <v>40049</v>
                </pt>
                <pt idx="16">
                  <v>40050</v>
                </pt>
                <pt idx="17">
                  <v>40051</v>
                </pt>
                <pt idx="18">
                  <v>40052</v>
                </pt>
                <pt idx="19">
                  <v>40053</v>
                </pt>
                <pt idx="20">
                  <v>40056</v>
                </pt>
                <pt idx="21">
                  <v>40057</v>
                </pt>
                <pt idx="22">
                  <v>40058</v>
                </pt>
                <pt idx="23">
                  <v>40059</v>
                </pt>
                <pt idx="24">
                  <v>40060</v>
                </pt>
                <pt idx="25">
                  <v>40064</v>
                </pt>
                <pt idx="26">
                  <v>40065</v>
                </pt>
                <pt idx="27">
                  <v>40066</v>
                </pt>
                <pt idx="28">
                  <v>40067</v>
                </pt>
                <pt idx="29">
                  <v>40070</v>
                </pt>
                <pt idx="30">
                  <v>40071</v>
                </pt>
                <pt idx="31">
                  <v>40072</v>
                </pt>
                <pt idx="32">
                  <v>40073</v>
                </pt>
                <pt idx="33">
                  <v>40074</v>
                </pt>
                <pt idx="34">
                  <v>40077</v>
                </pt>
                <pt idx="35">
                  <v>40078</v>
                </pt>
                <pt idx="36">
                  <v>40079</v>
                </pt>
                <pt idx="37">
                  <v>40080</v>
                </pt>
                <pt idx="38">
                  <v>40081</v>
                </pt>
                <pt idx="39">
                  <v>40084</v>
                </pt>
                <pt idx="40">
                  <v>40085</v>
                </pt>
                <pt idx="41">
                  <v>40086</v>
                </pt>
                <pt idx="42">
                  <v>40087</v>
                </pt>
                <pt idx="43">
                  <v>40088</v>
                </pt>
                <pt idx="44">
                  <v>40091</v>
                </pt>
                <pt idx="45">
                  <v>40092</v>
                </pt>
                <pt idx="46">
                  <v>40093</v>
                </pt>
                <pt idx="47">
                  <v>40094</v>
                </pt>
                <pt idx="48">
                  <v>40095</v>
                </pt>
                <pt idx="49">
                  <v>40098</v>
                </pt>
                <pt idx="50">
                  <v>40099</v>
                </pt>
                <pt idx="51">
                  <v>40100</v>
                </pt>
                <pt idx="52">
                  <v>40101</v>
                </pt>
                <pt idx="53">
                  <v>40102</v>
                </pt>
                <pt idx="54">
                  <v>40105</v>
                </pt>
                <pt idx="55">
                  <v>40106</v>
                </pt>
                <pt idx="56">
                  <v>40107</v>
                </pt>
                <pt idx="57">
                  <v>40108</v>
                </pt>
                <pt idx="58">
                  <v>40109</v>
                </pt>
                <pt idx="59">
                  <v>40112</v>
                </pt>
                <pt idx="60">
                  <v>40113</v>
                </pt>
                <pt idx="61">
                  <v>40114</v>
                </pt>
                <pt idx="62">
                  <v>40115</v>
                </pt>
                <pt idx="63">
                  <v>40116</v>
                </pt>
                <pt idx="64">
                  <v>40119</v>
                </pt>
                <pt idx="65">
                  <v>40120</v>
                </pt>
                <pt idx="66">
                  <v>40121</v>
                </pt>
                <pt idx="67">
                  <v>40122</v>
                </pt>
                <pt idx="68">
                  <v>40123</v>
                </pt>
                <pt idx="69">
                  <v>40126</v>
                </pt>
                <pt idx="70">
                  <v>40127</v>
                </pt>
                <pt idx="71">
                  <v>40128</v>
                </pt>
                <pt idx="72">
                  <v>40129</v>
                </pt>
                <pt idx="73">
                  <v>40130</v>
                </pt>
                <pt idx="74">
                  <v>40133</v>
                </pt>
                <pt idx="75">
                  <v>40134</v>
                </pt>
                <pt idx="76">
                  <v>40135</v>
                </pt>
                <pt idx="77">
                  <v>40136</v>
                </pt>
                <pt idx="78">
                  <v>40137</v>
                </pt>
                <pt idx="79">
                  <v>40140</v>
                </pt>
                <pt idx="80">
                  <v>40141</v>
                </pt>
                <pt idx="81">
                  <v>40142</v>
                </pt>
                <pt idx="82">
                  <v>40144</v>
                </pt>
                <pt idx="83">
                  <v>40147</v>
                </pt>
                <pt idx="84">
                  <v>40148</v>
                </pt>
                <pt idx="85">
                  <v>40149</v>
                </pt>
                <pt idx="86">
                  <v>40150</v>
                </pt>
                <pt idx="87">
                  <v>40151</v>
                </pt>
                <pt idx="88">
                  <v>40154</v>
                </pt>
                <pt idx="89">
                  <v>40155</v>
                </pt>
                <pt idx="90">
                  <v>40156</v>
                </pt>
                <pt idx="91">
                  <v>40157</v>
                </pt>
                <pt idx="92">
                  <v>40158</v>
                </pt>
                <pt idx="93">
                  <v>40161</v>
                </pt>
                <pt idx="94">
                  <v>40162</v>
                </pt>
                <pt idx="95">
                  <v>40163</v>
                </pt>
                <pt idx="96">
                  <v>40164</v>
                </pt>
                <pt idx="97">
                  <v>40165</v>
                </pt>
                <pt idx="98">
                  <v>40168</v>
                </pt>
                <pt idx="99">
                  <v>40169</v>
                </pt>
                <pt idx="100">
                  <v>40170</v>
                </pt>
                <pt idx="101">
                  <v>40171</v>
                </pt>
                <pt idx="102">
                  <v>40175</v>
                </pt>
                <pt idx="103">
                  <v>40176</v>
                </pt>
                <pt idx="104">
                  <v>40177</v>
                </pt>
              </numCache>
            </numRef>
          </xVal>
          <yVal>
            <numRef>
              <f>Holt!$C$20:$C$124</f>
              <numCache>
                <formatCode>0.00</formatCode>
                <ptCount val="105"/>
                <pt idx="0">
                  <v>452.21</v>
                </pt>
                <pt idx="1">
                  <v>453.73</v>
                </pt>
                <pt idx="2">
                  <v>451.14</v>
                </pt>
                <pt idx="3">
                  <v>450.36</v>
                </pt>
                <pt idx="4">
                  <v>457.1</v>
                </pt>
                <pt idx="5">
                  <v>456.61</v>
                </pt>
                <pt idx="6">
                  <v>453.94</v>
                </pt>
                <pt idx="7">
                  <v>458.58</v>
                </pt>
                <pt idx="8">
                  <v>462.28</v>
                </pt>
                <pt idx="9">
                  <v>460</v>
                </pt>
                <pt idx="10">
                  <v>444.89</v>
                </pt>
                <pt idx="11">
                  <v>445.28</v>
                </pt>
                <pt idx="12">
                  <v>443.97</v>
                </pt>
                <pt idx="13">
                  <v>460.41</v>
                </pt>
                <pt idx="14">
                  <v>465.24</v>
                </pt>
                <pt idx="15">
                  <v>468.73</v>
                </pt>
                <pt idx="16">
                  <v>471.37</v>
                </pt>
                <pt idx="17">
                  <v>468</v>
                </pt>
                <pt idx="18">
                  <v>466.06</v>
                </pt>
                <pt idx="19">
                  <v>464.75</v>
                </pt>
                <pt idx="20">
                  <v>461.67</v>
                </pt>
                <pt idx="21">
                  <v>455.76</v>
                </pt>
                <pt idx="22">
                  <v>453.01</v>
                </pt>
                <pt idx="23">
                  <v>457.52</v>
                </pt>
                <pt idx="24">
                  <v>461.3</v>
                </pt>
                <pt idx="25">
                  <v>458.62</v>
                </pt>
                <pt idx="26">
                  <v>463.97</v>
                </pt>
                <pt idx="27">
                  <v>470.94</v>
                </pt>
                <pt idx="28">
                  <v>472.14</v>
                </pt>
                <pt idx="29">
                  <v>475.12</v>
                </pt>
                <pt idx="30">
                  <v>477.54</v>
                </pt>
                <pt idx="31">
                  <v>488.29</v>
                </pt>
                <pt idx="32">
                  <v>491.72</v>
                </pt>
                <pt idx="33">
                  <v>491.46</v>
                </pt>
                <pt idx="34">
                  <v>497</v>
                </pt>
                <pt idx="35">
                  <v>499.06</v>
                </pt>
                <pt idx="36">
                  <v>498.46</v>
                </pt>
                <pt idx="37">
                  <v>496.77</v>
                </pt>
                <pt idx="38">
                  <v>492.48</v>
                </pt>
                <pt idx="39">
                  <v>498.53</v>
                </pt>
                <pt idx="40">
                  <v>498.53</v>
                </pt>
                <pt idx="41">
                  <v>495.85</v>
                </pt>
                <pt idx="42">
                  <v>487.2</v>
                </pt>
                <pt idx="43">
                  <v>484.58</v>
                </pt>
                <pt idx="44">
                  <v>488.52</v>
                </pt>
                <pt idx="45">
                  <v>498.74</v>
                </pt>
                <pt idx="46">
                  <v>517.54</v>
                </pt>
                <pt idx="47">
                  <v>514.1799999999999</v>
                </pt>
                <pt idx="48">
                  <v>516.25</v>
                </pt>
                <pt idx="49">
                  <v>524.04</v>
                </pt>
                <pt idx="50">
                  <v>526.11</v>
                </pt>
                <pt idx="51">
                  <v>535.3200000000001</v>
                </pt>
                <pt idx="52">
                  <v>529.91</v>
                </pt>
                <pt idx="53">
                  <v>549.85</v>
                </pt>
                <pt idx="54">
                  <v>552.09</v>
                </pt>
                <pt idx="55">
                  <v>551.72</v>
                </pt>
                <pt idx="56">
                  <v>551.1</v>
                </pt>
                <pt idx="57">
                  <v>554.09</v>
                </pt>
                <pt idx="58">
                  <v>553.6900000000001</v>
                </pt>
                <pt idx="59">
                  <v>554.21</v>
                </pt>
                <pt idx="60">
                  <v>548.29</v>
                </pt>
                <pt idx="61">
                  <v>540.3</v>
                </pt>
                <pt idx="62">
                  <v>551.05</v>
                </pt>
                <pt idx="63">
                  <v>536.12</v>
                </pt>
                <pt idx="64">
                  <v>533.99</v>
                </pt>
                <pt idx="65">
                  <v>537.29</v>
                </pt>
                <pt idx="66">
                  <v>540.33</v>
                </pt>
                <pt idx="67">
                  <v>548.65</v>
                </pt>
                <pt idx="68">
                  <v>551.1</v>
                </pt>
                <pt idx="69">
                  <v>562.51</v>
                </pt>
                <pt idx="70">
                  <v>566.76</v>
                </pt>
                <pt idx="71">
                  <v>570.5599999999999</v>
                </pt>
                <pt idx="72">
                  <v>567.85</v>
                </pt>
                <pt idx="73">
                  <v>572.05</v>
                </pt>
                <pt idx="74">
                  <v>576.28</v>
                </pt>
                <pt idx="75">
                  <v>577.49</v>
                </pt>
                <pt idx="76">
                  <v>576.65</v>
                </pt>
                <pt idx="77">
                  <v>572.99</v>
                </pt>
                <pt idx="78">
                  <v>569.96</v>
                </pt>
                <pt idx="79">
                  <v>582.35</v>
                </pt>
                <pt idx="80">
                  <v>583.09</v>
                </pt>
                <pt idx="81">
                  <v>585.74</v>
                </pt>
                <pt idx="82">
                  <v>579.76</v>
                </pt>
                <pt idx="83">
                  <v>583</v>
                </pt>
              </numCache>
            </numRef>
          </yVal>
          <smooth val="1"/>
        </ser>
        <ser>
          <idx val="1"/>
          <order val="1"/>
          <tx>
            <strRef>
              <f>Holt!$G$19</f>
              <strCache>
                <ptCount val="1"/>
                <pt idx="0">
                  <v>L+T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Holt!$A$20:$A$124</f>
              <numCache>
                <formatCode>dd\-mmm\-yy</formatCode>
                <ptCount val="105"/>
                <pt idx="0">
                  <v>40028</v>
                </pt>
                <pt idx="1">
                  <v>40029</v>
                </pt>
                <pt idx="2">
                  <v>40030</v>
                </pt>
                <pt idx="3">
                  <v>40031</v>
                </pt>
                <pt idx="4">
                  <v>40032</v>
                </pt>
                <pt idx="5">
                  <v>40035</v>
                </pt>
                <pt idx="6">
                  <v>40036</v>
                </pt>
                <pt idx="7">
                  <v>40037</v>
                </pt>
                <pt idx="8">
                  <v>40038</v>
                </pt>
                <pt idx="9">
                  <v>40039</v>
                </pt>
                <pt idx="10">
                  <v>40042</v>
                </pt>
                <pt idx="11">
                  <v>40043</v>
                </pt>
                <pt idx="12">
                  <v>40044</v>
                </pt>
                <pt idx="13">
                  <v>40045</v>
                </pt>
                <pt idx="14">
                  <v>40046</v>
                </pt>
                <pt idx="15">
                  <v>40049</v>
                </pt>
                <pt idx="16">
                  <v>40050</v>
                </pt>
                <pt idx="17">
                  <v>40051</v>
                </pt>
                <pt idx="18">
                  <v>40052</v>
                </pt>
                <pt idx="19">
                  <v>40053</v>
                </pt>
                <pt idx="20">
                  <v>40056</v>
                </pt>
                <pt idx="21">
                  <v>40057</v>
                </pt>
                <pt idx="22">
                  <v>40058</v>
                </pt>
                <pt idx="23">
                  <v>40059</v>
                </pt>
                <pt idx="24">
                  <v>40060</v>
                </pt>
                <pt idx="25">
                  <v>40064</v>
                </pt>
                <pt idx="26">
                  <v>40065</v>
                </pt>
                <pt idx="27">
                  <v>40066</v>
                </pt>
                <pt idx="28">
                  <v>40067</v>
                </pt>
                <pt idx="29">
                  <v>40070</v>
                </pt>
                <pt idx="30">
                  <v>40071</v>
                </pt>
                <pt idx="31">
                  <v>40072</v>
                </pt>
                <pt idx="32">
                  <v>40073</v>
                </pt>
                <pt idx="33">
                  <v>40074</v>
                </pt>
                <pt idx="34">
                  <v>40077</v>
                </pt>
                <pt idx="35">
                  <v>40078</v>
                </pt>
                <pt idx="36">
                  <v>40079</v>
                </pt>
                <pt idx="37">
                  <v>40080</v>
                </pt>
                <pt idx="38">
                  <v>40081</v>
                </pt>
                <pt idx="39">
                  <v>40084</v>
                </pt>
                <pt idx="40">
                  <v>40085</v>
                </pt>
                <pt idx="41">
                  <v>40086</v>
                </pt>
                <pt idx="42">
                  <v>40087</v>
                </pt>
                <pt idx="43">
                  <v>40088</v>
                </pt>
                <pt idx="44">
                  <v>40091</v>
                </pt>
                <pt idx="45">
                  <v>40092</v>
                </pt>
                <pt idx="46">
                  <v>40093</v>
                </pt>
                <pt idx="47">
                  <v>40094</v>
                </pt>
                <pt idx="48">
                  <v>40095</v>
                </pt>
                <pt idx="49">
                  <v>40098</v>
                </pt>
                <pt idx="50">
                  <v>40099</v>
                </pt>
                <pt idx="51">
                  <v>40100</v>
                </pt>
                <pt idx="52">
                  <v>40101</v>
                </pt>
                <pt idx="53">
                  <v>40102</v>
                </pt>
                <pt idx="54">
                  <v>40105</v>
                </pt>
                <pt idx="55">
                  <v>40106</v>
                </pt>
                <pt idx="56">
                  <v>40107</v>
                </pt>
                <pt idx="57">
                  <v>40108</v>
                </pt>
                <pt idx="58">
                  <v>40109</v>
                </pt>
                <pt idx="59">
                  <v>40112</v>
                </pt>
                <pt idx="60">
                  <v>40113</v>
                </pt>
                <pt idx="61">
                  <v>40114</v>
                </pt>
                <pt idx="62">
                  <v>40115</v>
                </pt>
                <pt idx="63">
                  <v>40116</v>
                </pt>
                <pt idx="64">
                  <v>40119</v>
                </pt>
                <pt idx="65">
                  <v>40120</v>
                </pt>
                <pt idx="66">
                  <v>40121</v>
                </pt>
                <pt idx="67">
                  <v>40122</v>
                </pt>
                <pt idx="68">
                  <v>40123</v>
                </pt>
                <pt idx="69">
                  <v>40126</v>
                </pt>
                <pt idx="70">
                  <v>40127</v>
                </pt>
                <pt idx="71">
                  <v>40128</v>
                </pt>
                <pt idx="72">
                  <v>40129</v>
                </pt>
                <pt idx="73">
                  <v>40130</v>
                </pt>
                <pt idx="74">
                  <v>40133</v>
                </pt>
                <pt idx="75">
                  <v>40134</v>
                </pt>
                <pt idx="76">
                  <v>40135</v>
                </pt>
                <pt idx="77">
                  <v>40136</v>
                </pt>
                <pt idx="78">
                  <v>40137</v>
                </pt>
                <pt idx="79">
                  <v>40140</v>
                </pt>
                <pt idx="80">
                  <v>40141</v>
                </pt>
                <pt idx="81">
                  <v>40142</v>
                </pt>
                <pt idx="82">
                  <v>40144</v>
                </pt>
                <pt idx="83">
                  <v>40147</v>
                </pt>
                <pt idx="84">
                  <v>40148</v>
                </pt>
                <pt idx="85">
                  <v>40149</v>
                </pt>
                <pt idx="86">
                  <v>40150</v>
                </pt>
                <pt idx="87">
                  <v>40151</v>
                </pt>
                <pt idx="88">
                  <v>40154</v>
                </pt>
                <pt idx="89">
                  <v>40155</v>
                </pt>
                <pt idx="90">
                  <v>40156</v>
                </pt>
                <pt idx="91">
                  <v>40157</v>
                </pt>
                <pt idx="92">
                  <v>40158</v>
                </pt>
                <pt idx="93">
                  <v>40161</v>
                </pt>
                <pt idx="94">
                  <v>40162</v>
                </pt>
                <pt idx="95">
                  <v>40163</v>
                </pt>
                <pt idx="96">
                  <v>40164</v>
                </pt>
                <pt idx="97">
                  <v>40165</v>
                </pt>
                <pt idx="98">
                  <v>40168</v>
                </pt>
                <pt idx="99">
                  <v>40169</v>
                </pt>
                <pt idx="100">
                  <v>40170</v>
                </pt>
                <pt idx="101">
                  <v>40171</v>
                </pt>
                <pt idx="102">
                  <v>40175</v>
                </pt>
                <pt idx="103">
                  <v>40176</v>
                </pt>
                <pt idx="104">
                  <v>40177</v>
                </pt>
              </numCache>
            </numRef>
          </xVal>
          <yVal>
            <numRef>
              <f>Holt!$G$20:$G$124</f>
              <numCache>
                <formatCode>0.00</formatCode>
                <ptCount val="105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865936655"/>
        <axId val="888768240"/>
      </scatterChart>
      <valAx>
        <axId val="865936655"/>
        <scaling>
          <orientation val="minMax"/>
          <max val="40178"/>
          <min val="40026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d/m/yy;@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888768240"/>
        <crosses val="autoZero"/>
        <crossBetween val="midCat"/>
      </valAx>
      <valAx>
        <axId val="888768240"/>
        <scaling>
          <orientation val="minMax"/>
          <min val="40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865936655"/>
        <crosses val="autoZero"/>
        <crossBetween val="midCat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2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Pr/>
  <sheetViews>
    <sheetView zoomScale="185" workbookViewId="0" zoomToFit="1"/>
  </sheetViews>
  <pageMargins left="0.511811024" right="0.511811024" top="0.787401575" bottom="0.787401575" header="0.31496062" footer="0.31496062"/>
  <drawing r:id="rId1"/>
</chartsheet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71120</colOff>
      <row>0</row>
      <rowOff>81280</rowOff>
    </from>
    <to>
      <col>14</col>
      <colOff>551268</colOff>
      <row>12</row>
      <rowOff>162560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1120" y="81280"/>
          <a:ext cx="10254068" cy="227584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68"/>
  <sheetViews>
    <sheetView tabSelected="1" zoomScale="125" workbookViewId="0">
      <selection activeCell="A15" sqref="A15"/>
    </sheetView>
  </sheetViews>
  <sheetFormatPr baseColWidth="10" defaultColWidth="8.83203125" defaultRowHeight="14"/>
  <cols>
    <col width="10.5" bestFit="1" customWidth="1" style="3" min="1" max="1"/>
    <col width="9.6640625" customWidth="1" style="3" min="2" max="2"/>
    <col width="16.6640625" customWidth="1" style="3" min="3" max="3"/>
    <col width="3.33203125" customWidth="1" style="3" min="4" max="4"/>
    <col width="11.3" customWidth="1" style="3" min="5" max="7"/>
    <col width="11.3" customWidth="1" min="6" max="6"/>
    <col width="15.5" customWidth="1" min="7" max="7"/>
    <col width="11" customWidth="1" style="2" min="8" max="8"/>
    <col width="11" customWidth="1" style="2" min="9" max="9"/>
    <col width="10" customWidth="1" style="2" min="10" max="16384"/>
    <col width="10" customWidth="1" min="11" max="11"/>
    <col width="11" customWidth="1" min="12" max="12"/>
    <col width="10" customWidth="1" min="13" max="13"/>
    <col width="10" customWidth="1" min="14" max="14"/>
  </cols>
  <sheetData>
    <row r="1">
      <c r="E1" s="1" t="n"/>
    </row>
    <row r="2">
      <c r="E2" s="1" t="n"/>
    </row>
    <row r="3">
      <c r="E3" s="1" t="n"/>
    </row>
    <row r="4">
      <c r="E4" s="1" t="n"/>
    </row>
    <row r="5">
      <c r="E5" s="1" t="n"/>
    </row>
    <row r="6">
      <c r="E6" s="1" t="n"/>
    </row>
    <row r="7">
      <c r="E7" s="1" t="n"/>
    </row>
    <row r="8">
      <c r="E8" s="1" t="n"/>
    </row>
    <row r="9">
      <c r="E9" s="1" t="n"/>
    </row>
    <row r="10">
      <c r="E10" s="1" t="n"/>
    </row>
    <row r="15" ht="15" customHeight="1" thickBot="1">
      <c r="E15" s="23" t="n"/>
    </row>
    <row r="16" ht="15" customHeight="1">
      <c r="E16" s="24" t="inlineStr">
        <is>
          <t>Alfa</t>
        </is>
      </c>
      <c r="F16" s="25" t="n">
        <v>1</v>
      </c>
      <c r="G16" s="26" t="inlineStr">
        <is>
          <t>← células de entrada (variáveis do Solver)</t>
        </is>
      </c>
      <c r="H16" s="23" t="n"/>
    </row>
    <row r="17" ht="15" customHeight="1" thickBot="1">
      <c r="E17" s="27" t="inlineStr">
        <is>
          <t>Beta</t>
        </is>
      </c>
      <c r="F17" s="25" t="n">
        <v>0.0233</v>
      </c>
      <c r="G17" s="28" t="n"/>
      <c r="H17" s="23" t="n"/>
      <c r="J17" s="23" t="inlineStr">
        <is>
          <t>ERROS</t>
        </is>
      </c>
      <c r="O17" s="23" t="n"/>
      <c r="P17" s="5" t="n"/>
    </row>
    <row r="18" ht="15" customHeight="1"/>
    <row r="19" ht="15" customHeight="1">
      <c r="A19" s="23" t="inlineStr">
        <is>
          <t>Datas</t>
        </is>
      </c>
      <c r="B19" s="23" t="n"/>
      <c r="C19" s="23" t="inlineStr">
        <is>
          <t>Preço (US$)</t>
        </is>
      </c>
      <c r="D19" s="23" t="n"/>
      <c r="E19" s="6" t="inlineStr">
        <is>
          <t>L</t>
        </is>
      </c>
      <c r="F19" s="6" t="inlineStr">
        <is>
          <t>T</t>
        </is>
      </c>
      <c r="G19" s="6" t="inlineStr">
        <is>
          <t>L+T (previsão)</t>
        </is>
      </c>
      <c r="H19" s="29" t="inlineStr">
        <is>
          <t>Erro (e)</t>
        </is>
      </c>
      <c r="I19" s="29" t="inlineStr">
        <is>
          <t>Erro % (PE)</t>
        </is>
      </c>
      <c r="J19" s="30" t="inlineStr">
        <is>
          <t>MAD</t>
        </is>
      </c>
      <c r="K19" s="30" t="inlineStr">
        <is>
          <t>MAPE</t>
        </is>
      </c>
      <c r="L19" s="30" t="inlineStr">
        <is>
          <t>MSE</t>
        </is>
      </c>
      <c r="M19" s="30" t="inlineStr">
        <is>
          <t>RMSE</t>
        </is>
      </c>
      <c r="N19" s="30" t="inlineStr">
        <is>
          <t>MPE</t>
        </is>
      </c>
      <c r="O19" s="23" t="n"/>
      <c r="P19" s="23" t="n"/>
    </row>
    <row r="20" ht="15" customHeight="1">
      <c r="A20" s="31" t="n">
        <v>40028</v>
      </c>
      <c r="B20" s="3" t="n">
        <v>1</v>
      </c>
      <c r="C20" s="8" t="n">
        <v>452.21</v>
      </c>
      <c r="E20" s="32">
        <f>C20</f>
        <v/>
      </c>
      <c r="F20" s="32" t="n">
        <v>0</v>
      </c>
      <c r="G20" s="32" t="n"/>
      <c r="H20" s="32" t="n"/>
      <c r="I20" s="33" t="n"/>
      <c r="J20" s="34">
        <f>SUMPRODUCT(ABS(H21:H103))/COUNT(H21:H103)</f>
        <v/>
      </c>
      <c r="K20" s="35">
        <f>SUMPRODUCT(ABS(I21:I103))/COUNT(I21:I103)</f>
        <v/>
      </c>
      <c r="L20" s="34">
        <f>SUMSQ(H21:H103)/COUNT(H21:H103)</f>
        <v/>
      </c>
      <c r="M20" s="34">
        <f>SQRT(L20)</f>
        <v/>
      </c>
      <c r="N20" s="35">
        <f>AVERAGE(I21:I103)</f>
        <v/>
      </c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</row>
    <row r="21" ht="15" customHeight="1">
      <c r="A21" s="31" t="n">
        <v>40029</v>
      </c>
      <c r="B21" s="3" t="n">
        <v>2</v>
      </c>
      <c r="C21" s="8" t="n">
        <v>453.73</v>
      </c>
      <c r="E21" s="32">
        <f>$F$16*C21+(1-$F$16)*(E20+F20)</f>
        <v/>
      </c>
      <c r="F21" s="32">
        <f>$F$17*(E21-E20)+(1-$F$17)*F20</f>
        <v/>
      </c>
      <c r="G21" s="32">
        <f>E20+F20</f>
        <v/>
      </c>
      <c r="H21" s="32">
        <f>C21-G21</f>
        <v/>
      </c>
      <c r="I21" s="33">
        <f>H21/C21</f>
        <v/>
      </c>
      <c r="J21" s="8" t="n"/>
      <c r="K21" s="10" t="n"/>
      <c r="L21" s="36" t="n"/>
      <c r="M21" s="8" t="n"/>
      <c r="N21" s="10" t="n"/>
      <c r="O21" s="10" t="n"/>
      <c r="P21" s="10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</row>
    <row r="22" ht="15" customHeight="1">
      <c r="A22" s="31" t="n">
        <v>40030</v>
      </c>
      <c r="B22" s="3" t="n">
        <v>3</v>
      </c>
      <c r="C22" s="8" t="n">
        <v>451.14</v>
      </c>
      <c r="E22" s="32">
        <f>$F$16*C22+(1-$F$16)*(E21+F21)</f>
        <v/>
      </c>
      <c r="F22" s="32">
        <f>$F$17*(E22-E21)+(1-$F$17)*F21</f>
        <v/>
      </c>
      <c r="G22" s="32">
        <f>E21+F21</f>
        <v/>
      </c>
      <c r="H22" s="32">
        <f>C22-G22</f>
        <v/>
      </c>
      <c r="I22" s="33">
        <f>H22/C22</f>
        <v/>
      </c>
      <c r="J22" s="8" t="n"/>
      <c r="K22" s="10" t="n"/>
      <c r="L22" s="36" t="n"/>
      <c r="M22" s="8" t="n"/>
      <c r="N22" s="10" t="n"/>
      <c r="O22" s="10" t="n"/>
      <c r="P22" s="10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</row>
    <row r="23" ht="15" customHeight="1">
      <c r="A23" s="31" t="n">
        <v>40031</v>
      </c>
      <c r="B23" s="3" t="n">
        <v>4</v>
      </c>
      <c r="C23" s="8" t="n">
        <v>450.36</v>
      </c>
      <c r="E23" s="32">
        <f>$F$16*C23+(1-$F$16)*(E22+F22)</f>
        <v/>
      </c>
      <c r="F23" s="32">
        <f>$F$17*(E23-E22)+(1-$F$17)*F22</f>
        <v/>
      </c>
      <c r="G23" s="32">
        <f>E22+F22</f>
        <v/>
      </c>
      <c r="H23" s="32">
        <f>C23-G23</f>
        <v/>
      </c>
      <c r="I23" s="33">
        <f>H23/C23</f>
        <v/>
      </c>
      <c r="J23" s="8" t="n"/>
      <c r="K23" s="10" t="n"/>
      <c r="L23" s="36" t="n"/>
      <c r="M23" s="8" t="n"/>
      <c r="N23" s="10" t="n"/>
      <c r="O23" s="10" t="n"/>
      <c r="P23" s="10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</row>
    <row r="24" ht="15" customHeight="1">
      <c r="A24" s="31" t="n">
        <v>40032</v>
      </c>
      <c r="B24" s="3" t="n">
        <v>5</v>
      </c>
      <c r="C24" s="8" t="n">
        <v>457.1</v>
      </c>
      <c r="E24" s="32">
        <f>$F$16*C24+(1-$F$16)*(E23+F23)</f>
        <v/>
      </c>
      <c r="F24" s="32">
        <f>$F$17*(E24-E23)+(1-$F$17)*F23</f>
        <v/>
      </c>
      <c r="G24" s="32">
        <f>E23+F23</f>
        <v/>
      </c>
      <c r="H24" s="32">
        <f>C24-G24</f>
        <v/>
      </c>
      <c r="I24" s="33">
        <f>H24/C24</f>
        <v/>
      </c>
      <c r="J24" s="8" t="n"/>
      <c r="K24" s="10" t="n"/>
      <c r="L24" s="36" t="n"/>
      <c r="M24" s="8" t="n"/>
      <c r="N24" s="10" t="n"/>
      <c r="O24" s="10" t="n"/>
      <c r="P24" s="10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</row>
    <row r="25" ht="15" customHeight="1">
      <c r="A25" s="31" t="n">
        <v>40035</v>
      </c>
      <c r="B25" s="3" t="n">
        <v>6</v>
      </c>
      <c r="C25" s="8" t="n">
        <v>456.61</v>
      </c>
      <c r="E25" s="32">
        <f>$F$16*C25+(1-$F$16)*(E24+F24)</f>
        <v/>
      </c>
      <c r="F25" s="32">
        <f>$F$17*(E25-E24)+(1-$F$17)*F24</f>
        <v/>
      </c>
      <c r="G25" s="32">
        <f>E24+F24</f>
        <v/>
      </c>
      <c r="H25" s="32">
        <f>C25-G25</f>
        <v/>
      </c>
      <c r="I25" s="33">
        <f>H25/C25</f>
        <v/>
      </c>
      <c r="J25" s="8" t="n"/>
      <c r="K25" s="10" t="n"/>
      <c r="L25" s="36" t="n"/>
      <c r="M25" s="8" t="n"/>
      <c r="N25" s="10" t="n"/>
      <c r="O25" s="10" t="n"/>
      <c r="P25" s="10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</row>
    <row r="26" ht="15" customHeight="1">
      <c r="A26" s="31" t="n">
        <v>40036</v>
      </c>
      <c r="B26" s="3" t="n">
        <v>7</v>
      </c>
      <c r="C26" s="8" t="n">
        <v>453.94</v>
      </c>
      <c r="E26" s="32">
        <f>$F$16*C26+(1-$F$16)*(E25+F25)</f>
        <v/>
      </c>
      <c r="F26" s="32">
        <f>$F$17*(E26-E25)+(1-$F$17)*F25</f>
        <v/>
      </c>
      <c r="G26" s="32">
        <f>E25+F25</f>
        <v/>
      </c>
      <c r="H26" s="32">
        <f>C26-G26</f>
        <v/>
      </c>
      <c r="I26" s="33">
        <f>H26/C26</f>
        <v/>
      </c>
      <c r="J26" s="8" t="n"/>
      <c r="K26" s="10" t="n"/>
      <c r="L26" s="36" t="n"/>
      <c r="M26" s="8" t="n"/>
      <c r="N26" s="10" t="n"/>
      <c r="O26" s="10" t="n"/>
      <c r="P26" s="10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</row>
    <row r="27" ht="15" customHeight="1">
      <c r="A27" s="31" t="n">
        <v>40037</v>
      </c>
      <c r="B27" s="3" t="n">
        <v>8</v>
      </c>
      <c r="C27" s="8" t="n">
        <v>458.58</v>
      </c>
      <c r="E27" s="32">
        <f>$F$16*C27+(1-$F$16)*(E26+F26)</f>
        <v/>
      </c>
      <c r="F27" s="32">
        <f>$F$17*(E27-E26)+(1-$F$17)*F26</f>
        <v/>
      </c>
      <c r="G27" s="32">
        <f>E26+F26</f>
        <v/>
      </c>
      <c r="H27" s="32">
        <f>C27-G27</f>
        <v/>
      </c>
      <c r="I27" s="33">
        <f>H27/C27</f>
        <v/>
      </c>
      <c r="J27" s="8" t="n"/>
      <c r="K27" s="10" t="n"/>
      <c r="L27" s="36" t="n"/>
      <c r="M27" s="8" t="n"/>
      <c r="N27" s="10" t="n"/>
      <c r="O27" s="10" t="n"/>
      <c r="P27" s="10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</row>
    <row r="28" ht="15" customHeight="1">
      <c r="A28" s="31" t="n">
        <v>40038</v>
      </c>
      <c r="B28" s="3" t="n">
        <v>9</v>
      </c>
      <c r="C28" s="8" t="n">
        <v>462.28</v>
      </c>
      <c r="E28" s="32">
        <f>$F$16*C28+(1-$F$16)*(E27+F27)</f>
        <v/>
      </c>
      <c r="F28" s="32">
        <f>$F$17*(E28-E27)+(1-$F$17)*F27</f>
        <v/>
      </c>
      <c r="G28" s="32">
        <f>E27+F27</f>
        <v/>
      </c>
      <c r="H28" s="32">
        <f>C28-G28</f>
        <v/>
      </c>
      <c r="I28" s="33">
        <f>H28/C28</f>
        <v/>
      </c>
      <c r="J28" s="8" t="n"/>
      <c r="K28" s="10" t="n"/>
      <c r="L28" s="36" t="n"/>
      <c r="M28" s="8" t="n"/>
      <c r="N28" s="10" t="n"/>
      <c r="O28" s="10" t="n"/>
      <c r="P28" s="10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</row>
    <row r="29" ht="15" customHeight="1">
      <c r="A29" s="31" t="n">
        <v>40039</v>
      </c>
      <c r="B29" s="3" t="n">
        <v>10</v>
      </c>
      <c r="C29" s="8" t="n">
        <v>460</v>
      </c>
      <c r="E29" s="32">
        <f>$F$16*C29+(1-$F$16)*(E28+F28)</f>
        <v/>
      </c>
      <c r="F29" s="32">
        <f>$F$17*(E29-E28)+(1-$F$17)*F28</f>
        <v/>
      </c>
      <c r="G29" s="32">
        <f>E28+F28</f>
        <v/>
      </c>
      <c r="H29" s="32">
        <f>C29-G29</f>
        <v/>
      </c>
      <c r="I29" s="33">
        <f>H29/C29</f>
        <v/>
      </c>
      <c r="J29" s="8" t="n"/>
      <c r="K29" s="10" t="n"/>
      <c r="L29" s="36" t="n"/>
      <c r="M29" s="8" t="n"/>
      <c r="N29" s="10" t="n"/>
      <c r="O29" s="10" t="n"/>
      <c r="P29" s="10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</row>
    <row r="30" ht="15" customHeight="1">
      <c r="A30" s="31" t="n">
        <v>40042</v>
      </c>
      <c r="B30" s="3" t="n">
        <v>11</v>
      </c>
      <c r="C30" s="8" t="n">
        <v>444.89</v>
      </c>
      <c r="E30" s="32">
        <f>$F$16*C30+(1-$F$16)*(E29+F29)</f>
        <v/>
      </c>
      <c r="F30" s="32">
        <f>$F$17*(E30-E29)+(1-$F$17)*F29</f>
        <v/>
      </c>
      <c r="G30" s="32">
        <f>E29+F29</f>
        <v/>
      </c>
      <c r="H30" s="32">
        <f>C30-G30</f>
        <v/>
      </c>
      <c r="I30" s="33">
        <f>H30/C30</f>
        <v/>
      </c>
      <c r="J30" s="8" t="n"/>
      <c r="K30" s="10" t="n"/>
      <c r="L30" s="36" t="n"/>
      <c r="M30" s="8" t="n"/>
      <c r="N30" s="10" t="n"/>
      <c r="O30" s="10" t="n"/>
      <c r="P30" s="10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</row>
    <row r="31" ht="15" customHeight="1">
      <c r="A31" s="31" t="n">
        <v>40043</v>
      </c>
      <c r="B31" s="3" t="n">
        <v>12</v>
      </c>
      <c r="C31" s="8" t="n">
        <v>445.28</v>
      </c>
      <c r="E31" s="32">
        <f>$F$16*C31+(1-$F$16)*(E30+F30)</f>
        <v/>
      </c>
      <c r="F31" s="32">
        <f>$F$17*(E31-E30)+(1-$F$17)*F30</f>
        <v/>
      </c>
      <c r="G31" s="32">
        <f>E30+F30</f>
        <v/>
      </c>
      <c r="H31" s="32">
        <f>C31-G31</f>
        <v/>
      </c>
      <c r="I31" s="33">
        <f>H31/C31</f>
        <v/>
      </c>
      <c r="J31" s="8" t="n"/>
      <c r="K31" s="10" t="n"/>
      <c r="L31" s="36" t="n"/>
      <c r="M31" s="8" t="n"/>
      <c r="N31" s="10" t="n"/>
      <c r="O31" s="10" t="n"/>
      <c r="P31" s="10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</row>
    <row r="32" ht="15" customHeight="1">
      <c r="A32" s="31" t="n">
        <v>40044</v>
      </c>
      <c r="B32" s="3" t="n">
        <v>13</v>
      </c>
      <c r="C32" s="8" t="n">
        <v>443.97</v>
      </c>
      <c r="E32" s="32">
        <f>$F$16*C32+(1-$F$16)*(E31+F31)</f>
        <v/>
      </c>
      <c r="F32" s="32">
        <f>$F$17*(E32-E31)+(1-$F$17)*F31</f>
        <v/>
      </c>
      <c r="G32" s="32">
        <f>E31+F31</f>
        <v/>
      </c>
      <c r="H32" s="32">
        <f>C32-G32</f>
        <v/>
      </c>
      <c r="I32" s="33">
        <f>H32/C32</f>
        <v/>
      </c>
      <c r="J32" s="8" t="n"/>
      <c r="K32" s="10" t="n"/>
      <c r="L32" s="36" t="n"/>
      <c r="M32" s="8" t="n"/>
      <c r="N32" s="10" t="n"/>
      <c r="O32" s="10" t="n"/>
      <c r="P32" s="10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</row>
    <row r="33" ht="15" customHeight="1">
      <c r="A33" s="31" t="n">
        <v>40045</v>
      </c>
      <c r="B33" s="3" t="n">
        <v>14</v>
      </c>
      <c r="C33" s="8" t="n">
        <v>460.41</v>
      </c>
      <c r="E33" s="32">
        <f>$F$16*C33+(1-$F$16)*(E32+F32)</f>
        <v/>
      </c>
      <c r="F33" s="32">
        <f>$F$17*(E33-E32)+(1-$F$17)*F32</f>
        <v/>
      </c>
      <c r="G33" s="32">
        <f>E32+F32</f>
        <v/>
      </c>
      <c r="H33" s="32">
        <f>C33-G33</f>
        <v/>
      </c>
      <c r="I33" s="33">
        <f>H33/C33</f>
        <v/>
      </c>
      <c r="J33" s="8" t="n"/>
      <c r="K33" s="10" t="n"/>
      <c r="L33" s="36" t="n"/>
      <c r="M33" s="8" t="n"/>
      <c r="N33" s="10" t="n"/>
      <c r="O33" s="10" t="n"/>
      <c r="P33" s="10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</row>
    <row r="34" ht="15" customHeight="1">
      <c r="A34" s="31" t="n">
        <v>40046</v>
      </c>
      <c r="B34" s="3" t="n">
        <v>15</v>
      </c>
      <c r="C34" s="8" t="n">
        <v>465.24</v>
      </c>
      <c r="E34" s="32">
        <f>$F$16*C34+(1-$F$16)*(E33+F33)</f>
        <v/>
      </c>
      <c r="F34" s="32">
        <f>$F$17*(E34-E33)+(1-$F$17)*F33</f>
        <v/>
      </c>
      <c r="G34" s="32">
        <f>E33+F33</f>
        <v/>
      </c>
      <c r="H34" s="32">
        <f>C34-G34</f>
        <v/>
      </c>
      <c r="I34" s="33">
        <f>H34/C34</f>
        <v/>
      </c>
      <c r="J34" s="8" t="n"/>
      <c r="K34" s="10" t="n"/>
      <c r="L34" s="36" t="n"/>
      <c r="M34" s="8" t="n"/>
      <c r="N34" s="10" t="n"/>
      <c r="O34" s="10" t="n"/>
      <c r="P34" s="10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</row>
    <row r="35" ht="15" customHeight="1">
      <c r="A35" s="31" t="n">
        <v>40049</v>
      </c>
      <c r="B35" s="3" t="n">
        <v>16</v>
      </c>
      <c r="C35" s="8" t="n">
        <v>468.73</v>
      </c>
      <c r="E35" s="32">
        <f>$F$16*C35+(1-$F$16)*(E34+F34)</f>
        <v/>
      </c>
      <c r="F35" s="32">
        <f>$F$17*(E35-E34)+(1-$F$17)*F34</f>
        <v/>
      </c>
      <c r="G35" s="32">
        <f>E34+F34</f>
        <v/>
      </c>
      <c r="H35" s="32">
        <f>C35-G35</f>
        <v/>
      </c>
      <c r="I35" s="33">
        <f>H35/C35</f>
        <v/>
      </c>
      <c r="J35" s="8" t="n"/>
      <c r="K35" s="10" t="n"/>
      <c r="L35" s="36" t="n"/>
      <c r="M35" s="8" t="n"/>
      <c r="N35" s="10" t="n"/>
      <c r="O35" s="10" t="n"/>
      <c r="P35" s="10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</row>
    <row r="36" ht="15" customHeight="1">
      <c r="A36" s="31" t="n">
        <v>40050</v>
      </c>
      <c r="B36" s="3" t="n">
        <v>17</v>
      </c>
      <c r="C36" s="8" t="n">
        <v>471.37</v>
      </c>
      <c r="E36" s="32">
        <f>$F$16*C36+(1-$F$16)*(E35+F35)</f>
        <v/>
      </c>
      <c r="F36" s="32">
        <f>$F$17*(E36-E35)+(1-$F$17)*F35</f>
        <v/>
      </c>
      <c r="G36" s="32">
        <f>E35+F35</f>
        <v/>
      </c>
      <c r="H36" s="32">
        <f>C36-G36</f>
        <v/>
      </c>
      <c r="I36" s="33">
        <f>H36/C36</f>
        <v/>
      </c>
      <c r="J36" s="8" t="n"/>
      <c r="K36" s="10" t="n"/>
      <c r="L36" s="36" t="n"/>
      <c r="M36" s="8" t="n"/>
      <c r="N36" s="10" t="n"/>
      <c r="O36" s="10" t="n"/>
      <c r="P36" s="10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</row>
    <row r="37" ht="15" customHeight="1">
      <c r="A37" s="31" t="n">
        <v>40051</v>
      </c>
      <c r="B37" s="3" t="n">
        <v>18</v>
      </c>
      <c r="C37" s="8" t="n">
        <v>468</v>
      </c>
      <c r="E37" s="32">
        <f>$F$16*C37+(1-$F$16)*(E36+F36)</f>
        <v/>
      </c>
      <c r="F37" s="32">
        <f>$F$17*(E37-E36)+(1-$F$17)*F36</f>
        <v/>
      </c>
      <c r="G37" s="32">
        <f>E36+F36</f>
        <v/>
      </c>
      <c r="H37" s="32">
        <f>C37-G37</f>
        <v/>
      </c>
      <c r="I37" s="33">
        <f>H37/C37</f>
        <v/>
      </c>
      <c r="J37" s="8" t="n"/>
      <c r="K37" s="10" t="n"/>
      <c r="L37" s="36" t="n"/>
      <c r="M37" s="8" t="n"/>
      <c r="N37" s="10" t="n"/>
      <c r="O37" s="10" t="n"/>
      <c r="P37" s="10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</row>
    <row r="38" ht="15" customHeight="1">
      <c r="A38" s="31" t="n">
        <v>40052</v>
      </c>
      <c r="B38" s="3" t="n">
        <v>19</v>
      </c>
      <c r="C38" s="8" t="n">
        <v>466.06</v>
      </c>
      <c r="E38" s="32">
        <f>$F$16*C38+(1-$F$16)*(E37+F37)</f>
        <v/>
      </c>
      <c r="F38" s="32">
        <f>$F$17*(E38-E37)+(1-$F$17)*F37</f>
        <v/>
      </c>
      <c r="G38" s="32">
        <f>E37+F37</f>
        <v/>
      </c>
      <c r="H38" s="32">
        <f>C38-G38</f>
        <v/>
      </c>
      <c r="I38" s="33">
        <f>H38/C38</f>
        <v/>
      </c>
      <c r="J38" s="8" t="n"/>
      <c r="K38" s="10" t="n"/>
      <c r="L38" s="36" t="n"/>
      <c r="M38" s="8" t="n"/>
      <c r="N38" s="10" t="n"/>
      <c r="O38" s="10" t="n"/>
      <c r="P38" s="10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</row>
    <row r="39" ht="15" customHeight="1">
      <c r="A39" s="31" t="n">
        <v>40053</v>
      </c>
      <c r="B39" s="3" t="n">
        <v>20</v>
      </c>
      <c r="C39" s="8" t="n">
        <v>464.75</v>
      </c>
      <c r="E39" s="32">
        <f>$F$16*C39+(1-$F$16)*(E38+F38)</f>
        <v/>
      </c>
      <c r="F39" s="32">
        <f>$F$17*(E39-E38)+(1-$F$17)*F38</f>
        <v/>
      </c>
      <c r="G39" s="32">
        <f>E38+F38</f>
        <v/>
      </c>
      <c r="H39" s="32">
        <f>C39-G39</f>
        <v/>
      </c>
      <c r="I39" s="33">
        <f>H39/C39</f>
        <v/>
      </c>
      <c r="J39" s="8" t="n"/>
      <c r="K39" s="10" t="n"/>
      <c r="L39" s="36" t="n"/>
      <c r="M39" s="8" t="n"/>
      <c r="N39" s="10" t="n"/>
      <c r="O39" s="10" t="n"/>
      <c r="P39" s="10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</row>
    <row r="40" ht="15" customHeight="1">
      <c r="A40" s="31" t="n">
        <v>40056</v>
      </c>
      <c r="B40" s="3" t="n">
        <v>21</v>
      </c>
      <c r="C40" s="8" t="n">
        <v>461.67</v>
      </c>
      <c r="E40" s="32">
        <f>$F$16*C40+(1-$F$16)*(E39+F39)</f>
        <v/>
      </c>
      <c r="F40" s="32">
        <f>$F$17*(E40-E39)+(1-$F$17)*F39</f>
        <v/>
      </c>
      <c r="G40" s="32">
        <f>E39+F39</f>
        <v/>
      </c>
      <c r="H40" s="32">
        <f>C40-G40</f>
        <v/>
      </c>
      <c r="I40" s="33">
        <f>H40/C40</f>
        <v/>
      </c>
      <c r="J40" s="8" t="n"/>
      <c r="K40" s="10" t="n"/>
      <c r="L40" s="36" t="n"/>
      <c r="M40" s="8" t="n"/>
      <c r="N40" s="10" t="n"/>
      <c r="O40" s="10" t="n"/>
      <c r="P40" s="10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</row>
    <row r="41" ht="15" customHeight="1">
      <c r="A41" s="31" t="n">
        <v>40057</v>
      </c>
      <c r="B41" s="3" t="n">
        <v>22</v>
      </c>
      <c r="C41" s="8" t="n">
        <v>455.76</v>
      </c>
      <c r="E41" s="32">
        <f>$F$16*C41+(1-$F$16)*(E40+F40)</f>
        <v/>
      </c>
      <c r="F41" s="32">
        <f>$F$17*(E41-E40)+(1-$F$17)*F40</f>
        <v/>
      </c>
      <c r="G41" s="32">
        <f>E40+F40</f>
        <v/>
      </c>
      <c r="H41" s="32">
        <f>C41-G41</f>
        <v/>
      </c>
      <c r="I41" s="33">
        <f>H41/C41</f>
        <v/>
      </c>
      <c r="J41" s="8" t="n"/>
      <c r="K41" s="10" t="n"/>
      <c r="L41" s="36" t="n"/>
      <c r="M41" s="8" t="n"/>
      <c r="N41" s="10" t="n"/>
      <c r="O41" s="10" t="n"/>
      <c r="P41" s="10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</row>
    <row r="42" ht="15" customHeight="1">
      <c r="A42" s="31" t="n">
        <v>40058</v>
      </c>
      <c r="B42" s="3" t="n">
        <v>23</v>
      </c>
      <c r="C42" s="8" t="n">
        <v>453.01</v>
      </c>
      <c r="E42" s="32">
        <f>$F$16*C42+(1-$F$16)*(E41+F41)</f>
        <v/>
      </c>
      <c r="F42" s="32">
        <f>$F$17*(E42-E41)+(1-$F$17)*F41</f>
        <v/>
      </c>
      <c r="G42" s="32">
        <f>E41+F41</f>
        <v/>
      </c>
      <c r="H42" s="32">
        <f>C42-G42</f>
        <v/>
      </c>
      <c r="I42" s="33">
        <f>H42/C42</f>
        <v/>
      </c>
      <c r="J42" s="8" t="n"/>
      <c r="K42" s="10" t="n"/>
      <c r="L42" s="36" t="n"/>
      <c r="M42" s="8" t="n"/>
      <c r="N42" s="10" t="n"/>
      <c r="O42" s="10" t="n"/>
      <c r="P42" s="10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</row>
    <row r="43" ht="15" customHeight="1">
      <c r="A43" s="31" t="n">
        <v>40059</v>
      </c>
      <c r="B43" s="3" t="n">
        <v>24</v>
      </c>
      <c r="C43" s="8" t="n">
        <v>457.52</v>
      </c>
      <c r="E43" s="32">
        <f>$F$16*C43+(1-$F$16)*(E42+F42)</f>
        <v/>
      </c>
      <c r="F43" s="32">
        <f>$F$17*(E43-E42)+(1-$F$17)*F42</f>
        <v/>
      </c>
      <c r="G43" s="32">
        <f>E42+F42</f>
        <v/>
      </c>
      <c r="H43" s="32">
        <f>C43-G43</f>
        <v/>
      </c>
      <c r="I43" s="33">
        <f>H43/C43</f>
        <v/>
      </c>
      <c r="J43" s="8" t="n"/>
      <c r="K43" s="10" t="n"/>
      <c r="L43" s="36" t="n"/>
      <c r="M43" s="8" t="n"/>
      <c r="N43" s="10" t="n"/>
      <c r="O43" s="10" t="n"/>
      <c r="P43" s="10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</row>
    <row r="44" ht="15" customHeight="1">
      <c r="A44" s="31" t="n">
        <v>40060</v>
      </c>
      <c r="B44" s="3" t="n">
        <v>25</v>
      </c>
      <c r="C44" s="8" t="n">
        <v>461.3</v>
      </c>
      <c r="E44" s="32">
        <f>$F$16*C44+(1-$F$16)*(E43+F43)</f>
        <v/>
      </c>
      <c r="F44" s="32">
        <f>$F$17*(E44-E43)+(1-$F$17)*F43</f>
        <v/>
      </c>
      <c r="G44" s="32">
        <f>E43+F43</f>
        <v/>
      </c>
      <c r="H44" s="32">
        <f>C44-G44</f>
        <v/>
      </c>
      <c r="I44" s="33">
        <f>H44/C44</f>
        <v/>
      </c>
      <c r="J44" s="8" t="n"/>
      <c r="K44" s="10" t="n"/>
      <c r="L44" s="36" t="n"/>
      <c r="M44" s="8" t="n"/>
      <c r="N44" s="10" t="n"/>
      <c r="O44" s="10" t="n"/>
      <c r="P44" s="10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</row>
    <row r="45" ht="15" customHeight="1">
      <c r="A45" s="31" t="n">
        <v>40064</v>
      </c>
      <c r="B45" s="3" t="n">
        <v>26</v>
      </c>
      <c r="C45" s="8" t="n">
        <v>458.62</v>
      </c>
      <c r="E45" s="32">
        <f>$F$16*C45+(1-$F$16)*(E44+F44)</f>
        <v/>
      </c>
      <c r="F45" s="32">
        <f>$F$17*(E45-E44)+(1-$F$17)*F44</f>
        <v/>
      </c>
      <c r="G45" s="32">
        <f>E44+F44</f>
        <v/>
      </c>
      <c r="H45" s="32">
        <f>C45-G45</f>
        <v/>
      </c>
      <c r="I45" s="33">
        <f>H45/C45</f>
        <v/>
      </c>
      <c r="J45" s="8" t="n"/>
      <c r="K45" s="10" t="n"/>
      <c r="L45" s="36" t="n"/>
      <c r="M45" s="8" t="n"/>
      <c r="N45" s="10" t="n"/>
      <c r="O45" s="10" t="n"/>
      <c r="P45" s="10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</row>
    <row r="46" ht="15" customHeight="1">
      <c r="A46" s="31" t="n">
        <v>40065</v>
      </c>
      <c r="B46" s="3" t="n">
        <v>27</v>
      </c>
      <c r="C46" s="8" t="n">
        <v>463.97</v>
      </c>
      <c r="E46" s="32">
        <f>$F$16*C46+(1-$F$16)*(E45+F45)</f>
        <v/>
      </c>
      <c r="F46" s="32">
        <f>$F$17*(E46-E45)+(1-$F$17)*F45</f>
        <v/>
      </c>
      <c r="G46" s="32">
        <f>E45+F45</f>
        <v/>
      </c>
      <c r="H46" s="32">
        <f>C46-G46</f>
        <v/>
      </c>
      <c r="I46" s="33">
        <f>H46/C46</f>
        <v/>
      </c>
      <c r="J46" s="8" t="n"/>
      <c r="K46" s="10" t="n"/>
      <c r="L46" s="36" t="n"/>
      <c r="M46" s="8" t="n"/>
      <c r="N46" s="10" t="n"/>
      <c r="O46" s="10" t="n"/>
      <c r="P46" s="10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</row>
    <row r="47" ht="15" customHeight="1">
      <c r="A47" s="31" t="n">
        <v>40066</v>
      </c>
      <c r="B47" s="3" t="n">
        <v>28</v>
      </c>
      <c r="C47" s="8" t="n">
        <v>470.94</v>
      </c>
      <c r="E47" s="32">
        <f>$F$16*C47+(1-$F$16)*(E46+F46)</f>
        <v/>
      </c>
      <c r="F47" s="32">
        <f>$F$17*(E47-E46)+(1-$F$17)*F46</f>
        <v/>
      </c>
      <c r="G47" s="32">
        <f>E46+F46</f>
        <v/>
      </c>
      <c r="H47" s="32">
        <f>C47-G47</f>
        <v/>
      </c>
      <c r="I47" s="33">
        <f>H47/C47</f>
        <v/>
      </c>
      <c r="J47" s="8" t="n"/>
      <c r="K47" s="10" t="n"/>
      <c r="L47" s="36" t="n"/>
      <c r="M47" s="8" t="n"/>
      <c r="N47" s="10" t="n"/>
      <c r="O47" s="10" t="n"/>
      <c r="P47" s="10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</row>
    <row r="48" ht="15" customHeight="1">
      <c r="A48" s="31" t="n">
        <v>40067</v>
      </c>
      <c r="B48" s="3" t="n">
        <v>29</v>
      </c>
      <c r="C48" s="8" t="n">
        <v>472.14</v>
      </c>
      <c r="E48" s="32">
        <f>$F$16*C48+(1-$F$16)*(E47+F47)</f>
        <v/>
      </c>
      <c r="F48" s="32">
        <f>$F$17*(E48-E47)+(1-$F$17)*F47</f>
        <v/>
      </c>
      <c r="G48" s="32">
        <f>E47+F47</f>
        <v/>
      </c>
      <c r="H48" s="32">
        <f>C48-G48</f>
        <v/>
      </c>
      <c r="I48" s="33">
        <f>H48/C48</f>
        <v/>
      </c>
      <c r="J48" s="8" t="n"/>
      <c r="K48" s="10" t="n"/>
      <c r="L48" s="36" t="n"/>
      <c r="M48" s="8" t="n"/>
      <c r="N48" s="10" t="n"/>
      <c r="O48" s="10" t="n"/>
      <c r="P48" s="10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</row>
    <row r="49" ht="15" customHeight="1">
      <c r="A49" s="31" t="n">
        <v>40070</v>
      </c>
      <c r="B49" s="3" t="n">
        <v>30</v>
      </c>
      <c r="C49" s="8" t="n">
        <v>475.12</v>
      </c>
      <c r="E49" s="32">
        <f>$F$16*C49+(1-$F$16)*(E48+F48)</f>
        <v/>
      </c>
      <c r="F49" s="32">
        <f>$F$17*(E49-E48)+(1-$F$17)*F48</f>
        <v/>
      </c>
      <c r="G49" s="32">
        <f>E48+F48</f>
        <v/>
      </c>
      <c r="H49" s="32">
        <f>C49-G49</f>
        <v/>
      </c>
      <c r="I49" s="33">
        <f>H49/C49</f>
        <v/>
      </c>
      <c r="J49" s="8" t="n"/>
      <c r="K49" s="10" t="n"/>
      <c r="L49" s="36" t="n"/>
      <c r="M49" s="8" t="n"/>
      <c r="N49" s="10" t="n"/>
      <c r="O49" s="10" t="n"/>
      <c r="P49" s="10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</row>
    <row r="50" ht="15" customHeight="1">
      <c r="A50" s="31" t="n">
        <v>40071</v>
      </c>
      <c r="B50" s="3" t="n">
        <v>31</v>
      </c>
      <c r="C50" s="8" t="n">
        <v>477.54</v>
      </c>
      <c r="E50" s="32">
        <f>$F$16*C50+(1-$F$16)*(E49+F49)</f>
        <v/>
      </c>
      <c r="F50" s="32">
        <f>$F$17*(E50-E49)+(1-$F$17)*F49</f>
        <v/>
      </c>
      <c r="G50" s="32">
        <f>E49+F49</f>
        <v/>
      </c>
      <c r="H50" s="32">
        <f>C50-G50</f>
        <v/>
      </c>
      <c r="I50" s="33">
        <f>H50/C50</f>
        <v/>
      </c>
      <c r="J50" s="8" t="n"/>
      <c r="K50" s="10" t="n"/>
      <c r="L50" s="36" t="n"/>
      <c r="M50" s="8" t="n"/>
      <c r="N50" s="10" t="n"/>
      <c r="O50" s="10" t="n"/>
      <c r="P50" s="10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</row>
    <row r="51" ht="15" customHeight="1">
      <c r="A51" s="31" t="n">
        <v>40072</v>
      </c>
      <c r="B51" s="3" t="n">
        <v>32</v>
      </c>
      <c r="C51" s="8" t="n">
        <v>488.29</v>
      </c>
      <c r="E51" s="32">
        <f>$F$16*C51+(1-$F$16)*(E50+F50)</f>
        <v/>
      </c>
      <c r="F51" s="32">
        <f>$F$17*(E51-E50)+(1-$F$17)*F50</f>
        <v/>
      </c>
      <c r="G51" s="32">
        <f>E50+F50</f>
        <v/>
      </c>
      <c r="H51" s="32">
        <f>C51-G51</f>
        <v/>
      </c>
      <c r="I51" s="33">
        <f>H51/C51</f>
        <v/>
      </c>
      <c r="J51" s="8" t="n"/>
      <c r="K51" s="10" t="n"/>
      <c r="L51" s="36" t="n"/>
      <c r="M51" s="8" t="n"/>
      <c r="N51" s="10" t="n"/>
      <c r="O51" s="10" t="n"/>
      <c r="P51" s="10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</row>
    <row r="52" ht="15" customHeight="1">
      <c r="A52" s="31" t="n">
        <v>40073</v>
      </c>
      <c r="B52" s="3" t="n">
        <v>33</v>
      </c>
      <c r="C52" s="8" t="n">
        <v>491.72</v>
      </c>
      <c r="E52" s="32">
        <f>$F$16*C52+(1-$F$16)*(E51+F51)</f>
        <v/>
      </c>
      <c r="F52" s="32">
        <f>$F$17*(E52-E51)+(1-$F$17)*F51</f>
        <v/>
      </c>
      <c r="G52" s="32">
        <f>E51+F51</f>
        <v/>
      </c>
      <c r="H52" s="32">
        <f>C52-G52</f>
        <v/>
      </c>
      <c r="I52" s="33">
        <f>H52/C52</f>
        <v/>
      </c>
      <c r="J52" s="8" t="n"/>
      <c r="K52" s="10" t="n"/>
      <c r="L52" s="36" t="n"/>
      <c r="M52" s="8" t="n"/>
      <c r="N52" s="10" t="n"/>
      <c r="O52" s="10" t="n"/>
      <c r="P52" s="10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</row>
    <row r="53" ht="15" customHeight="1">
      <c r="A53" s="31" t="n">
        <v>40074</v>
      </c>
      <c r="B53" s="3" t="n">
        <v>34</v>
      </c>
      <c r="C53" s="8" t="n">
        <v>491.46</v>
      </c>
      <c r="E53" s="32">
        <f>$F$16*C53+(1-$F$16)*(E52+F52)</f>
        <v/>
      </c>
      <c r="F53" s="32">
        <f>$F$17*(E53-E52)+(1-$F$17)*F52</f>
        <v/>
      </c>
      <c r="G53" s="32">
        <f>E52+F52</f>
        <v/>
      </c>
      <c r="H53" s="32">
        <f>C53-G53</f>
        <v/>
      </c>
      <c r="I53" s="33">
        <f>H53/C53</f>
        <v/>
      </c>
      <c r="J53" s="8" t="n"/>
      <c r="K53" s="10" t="n"/>
      <c r="L53" s="36" t="n"/>
      <c r="M53" s="8" t="n"/>
      <c r="N53" s="10" t="n"/>
      <c r="O53" s="10" t="n"/>
      <c r="P53" s="10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</row>
    <row r="54" ht="15" customHeight="1">
      <c r="A54" s="31" t="n">
        <v>40077</v>
      </c>
      <c r="B54" s="3" t="n">
        <v>35</v>
      </c>
      <c r="C54" s="8" t="n">
        <v>497</v>
      </c>
      <c r="E54" s="32">
        <f>$F$16*C54+(1-$F$16)*(E53+F53)</f>
        <v/>
      </c>
      <c r="F54" s="32">
        <f>$F$17*(E54-E53)+(1-$F$17)*F53</f>
        <v/>
      </c>
      <c r="G54" s="32">
        <f>E53+F53</f>
        <v/>
      </c>
      <c r="H54" s="32">
        <f>C54-G54</f>
        <v/>
      </c>
      <c r="I54" s="33">
        <f>H54/C54</f>
        <v/>
      </c>
      <c r="J54" s="8" t="n"/>
      <c r="K54" s="10" t="n"/>
      <c r="L54" s="36" t="n"/>
      <c r="M54" s="8" t="n"/>
      <c r="N54" s="10" t="n"/>
      <c r="O54" s="10" t="n"/>
      <c r="P54" s="10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</row>
    <row r="55" ht="15" customHeight="1">
      <c r="A55" s="31" t="n">
        <v>40078</v>
      </c>
      <c r="B55" s="3" t="n">
        <v>36</v>
      </c>
      <c r="C55" s="8" t="n">
        <v>499.06</v>
      </c>
      <c r="E55" s="32">
        <f>$F$16*C55+(1-$F$16)*(E54+F54)</f>
        <v/>
      </c>
      <c r="F55" s="32">
        <f>$F$17*(E55-E54)+(1-$F$17)*F54</f>
        <v/>
      </c>
      <c r="G55" s="32">
        <f>E54+F54</f>
        <v/>
      </c>
      <c r="H55" s="32">
        <f>C55-G55</f>
        <v/>
      </c>
      <c r="I55" s="33">
        <f>H55/C55</f>
        <v/>
      </c>
      <c r="J55" s="8" t="n"/>
      <c r="K55" s="10" t="n"/>
      <c r="L55" s="36" t="n"/>
      <c r="M55" s="8" t="n"/>
      <c r="N55" s="10" t="n"/>
      <c r="O55" s="10" t="n"/>
      <c r="P55" s="10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</row>
    <row r="56" ht="15" customHeight="1">
      <c r="A56" s="31" t="n">
        <v>40079</v>
      </c>
      <c r="B56" s="3" t="n">
        <v>37</v>
      </c>
      <c r="C56" s="8" t="n">
        <v>498.46</v>
      </c>
      <c r="E56" s="32">
        <f>$F$16*C56+(1-$F$16)*(E55+F55)</f>
        <v/>
      </c>
      <c r="F56" s="32">
        <f>$F$17*(E56-E55)+(1-$F$17)*F55</f>
        <v/>
      </c>
      <c r="G56" s="32">
        <f>E55+F55</f>
        <v/>
      </c>
      <c r="H56" s="32">
        <f>C56-G56</f>
        <v/>
      </c>
      <c r="I56" s="33">
        <f>H56/C56</f>
        <v/>
      </c>
      <c r="J56" s="8" t="n"/>
      <c r="K56" s="10" t="n"/>
      <c r="L56" s="36" t="n"/>
      <c r="M56" s="8" t="n"/>
      <c r="N56" s="10" t="n"/>
      <c r="O56" s="10" t="n"/>
      <c r="P56" s="10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</row>
    <row r="57" ht="15" customHeight="1">
      <c r="A57" s="31" t="n">
        <v>40080</v>
      </c>
      <c r="B57" s="3" t="n">
        <v>38</v>
      </c>
      <c r="C57" s="8" t="n">
        <v>496.77</v>
      </c>
      <c r="E57" s="32">
        <f>$F$16*C57+(1-$F$16)*(E56+F56)</f>
        <v/>
      </c>
      <c r="F57" s="32">
        <f>$F$17*(E57-E56)+(1-$F$17)*F56</f>
        <v/>
      </c>
      <c r="G57" s="32">
        <f>E56+F56</f>
        <v/>
      </c>
      <c r="H57" s="32">
        <f>C57-G57</f>
        <v/>
      </c>
      <c r="I57" s="33">
        <f>H57/C57</f>
        <v/>
      </c>
      <c r="J57" s="8" t="n"/>
      <c r="K57" s="10" t="n"/>
      <c r="L57" s="36" t="n"/>
      <c r="M57" s="8" t="n"/>
      <c r="N57" s="10" t="n"/>
      <c r="O57" s="10" t="n"/>
      <c r="P57" s="10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</row>
    <row r="58" ht="15" customHeight="1">
      <c r="A58" s="31" t="n">
        <v>40081</v>
      </c>
      <c r="B58" s="3" t="n">
        <v>39</v>
      </c>
      <c r="C58" s="8" t="n">
        <v>492.48</v>
      </c>
      <c r="E58" s="32">
        <f>$F$16*C58+(1-$F$16)*(E57+F57)</f>
        <v/>
      </c>
      <c r="F58" s="32">
        <f>$F$17*(E58-E57)+(1-$F$17)*F57</f>
        <v/>
      </c>
      <c r="G58" s="32">
        <f>E57+F57</f>
        <v/>
      </c>
      <c r="H58" s="32">
        <f>C58-G58</f>
        <v/>
      </c>
      <c r="I58" s="33">
        <f>H58/C58</f>
        <v/>
      </c>
      <c r="J58" s="8" t="n"/>
      <c r="K58" s="10" t="n"/>
      <c r="L58" s="36" t="n"/>
      <c r="M58" s="8" t="n"/>
      <c r="N58" s="10" t="n"/>
      <c r="O58" s="10" t="n"/>
      <c r="P58" s="10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</row>
    <row r="59" ht="15" customHeight="1">
      <c r="A59" s="31" t="n">
        <v>40084</v>
      </c>
      <c r="B59" s="3" t="n">
        <v>40</v>
      </c>
      <c r="C59" s="8" t="n">
        <v>498.53</v>
      </c>
      <c r="E59" s="32">
        <f>$F$16*C59+(1-$F$16)*(E58+F58)</f>
        <v/>
      </c>
      <c r="F59" s="32">
        <f>$F$17*(E59-E58)+(1-$F$17)*F58</f>
        <v/>
      </c>
      <c r="G59" s="32">
        <f>E58+F58</f>
        <v/>
      </c>
      <c r="H59" s="32">
        <f>C59-G59</f>
        <v/>
      </c>
      <c r="I59" s="33">
        <f>H59/C59</f>
        <v/>
      </c>
      <c r="J59" s="8" t="n"/>
      <c r="K59" s="10" t="n"/>
      <c r="L59" s="36" t="n"/>
      <c r="M59" s="8" t="n"/>
      <c r="N59" s="10" t="n"/>
      <c r="O59" s="10" t="n"/>
      <c r="P59" s="10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</row>
    <row r="60" ht="15" customHeight="1">
      <c r="A60" s="31" t="n">
        <v>40085</v>
      </c>
      <c r="B60" s="3" t="n">
        <v>41</v>
      </c>
      <c r="C60" s="8" t="n">
        <v>498.53</v>
      </c>
      <c r="E60" s="32">
        <f>$F$16*C60+(1-$F$16)*(E59+F59)</f>
        <v/>
      </c>
      <c r="F60" s="32">
        <f>$F$17*(E60-E59)+(1-$F$17)*F59</f>
        <v/>
      </c>
      <c r="G60" s="32">
        <f>E59+F59</f>
        <v/>
      </c>
      <c r="H60" s="32">
        <f>C60-G60</f>
        <v/>
      </c>
      <c r="I60" s="33">
        <f>H60/C60</f>
        <v/>
      </c>
      <c r="J60" s="8" t="n"/>
      <c r="K60" s="10" t="n"/>
      <c r="L60" s="36" t="n"/>
      <c r="M60" s="8" t="n"/>
      <c r="N60" s="10" t="n"/>
      <c r="O60" s="10" t="n"/>
      <c r="P60" s="10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</row>
    <row r="61" ht="15" customHeight="1">
      <c r="A61" s="31" t="n">
        <v>40086</v>
      </c>
      <c r="B61" s="3" t="n">
        <v>42</v>
      </c>
      <c r="C61" s="8" t="n">
        <v>495.85</v>
      </c>
      <c r="E61" s="32">
        <f>$F$16*C61+(1-$F$16)*(E60+F60)</f>
        <v/>
      </c>
      <c r="F61" s="32">
        <f>$F$17*(E61-E60)+(1-$F$17)*F60</f>
        <v/>
      </c>
      <c r="G61" s="32">
        <f>E60+F60</f>
        <v/>
      </c>
      <c r="H61" s="32">
        <f>C61-G61</f>
        <v/>
      </c>
      <c r="I61" s="33">
        <f>H61/C61</f>
        <v/>
      </c>
      <c r="J61" s="8" t="n"/>
      <c r="K61" s="10" t="n"/>
      <c r="L61" s="36" t="n"/>
      <c r="M61" s="8" t="n"/>
      <c r="N61" s="10" t="n"/>
      <c r="O61" s="10" t="n"/>
      <c r="P61" s="10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</row>
    <row r="62" ht="15" customHeight="1">
      <c r="A62" s="31" t="n">
        <v>40087</v>
      </c>
      <c r="B62" s="3" t="n">
        <v>43</v>
      </c>
      <c r="C62" s="8" t="n">
        <v>487.2</v>
      </c>
      <c r="E62" s="32">
        <f>$F$16*C62+(1-$F$16)*(E61+F61)</f>
        <v/>
      </c>
      <c r="F62" s="32">
        <f>$F$17*(E62-E61)+(1-$F$17)*F61</f>
        <v/>
      </c>
      <c r="G62" s="32">
        <f>E61+F61</f>
        <v/>
      </c>
      <c r="H62" s="32">
        <f>C62-G62</f>
        <v/>
      </c>
      <c r="I62" s="33">
        <f>H62/C62</f>
        <v/>
      </c>
      <c r="J62" s="8" t="n"/>
      <c r="K62" s="10" t="n"/>
      <c r="L62" s="36" t="n"/>
      <c r="M62" s="8" t="n"/>
      <c r="N62" s="10" t="n"/>
      <c r="O62" s="10" t="n"/>
      <c r="P62" s="10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</row>
    <row r="63" ht="15" customHeight="1">
      <c r="A63" s="31" t="n">
        <v>40088</v>
      </c>
      <c r="B63" s="3" t="n">
        <v>44</v>
      </c>
      <c r="C63" s="8" t="n">
        <v>484.58</v>
      </c>
      <c r="E63" s="32">
        <f>$F$16*C63+(1-$F$16)*(E62+F62)</f>
        <v/>
      </c>
      <c r="F63" s="32">
        <f>$F$17*(E63-E62)+(1-$F$17)*F62</f>
        <v/>
      </c>
      <c r="G63" s="32">
        <f>E62+F62</f>
        <v/>
      </c>
      <c r="H63" s="32">
        <f>C63-G63</f>
        <v/>
      </c>
      <c r="I63" s="33">
        <f>H63/C63</f>
        <v/>
      </c>
      <c r="J63" s="8" t="n"/>
      <c r="K63" s="10" t="n"/>
      <c r="L63" s="36" t="n"/>
      <c r="M63" s="8" t="n"/>
      <c r="N63" s="10" t="n"/>
      <c r="O63" s="10" t="n"/>
      <c r="P63" s="10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</row>
    <row r="64" ht="15" customHeight="1">
      <c r="A64" s="31" t="n">
        <v>40091</v>
      </c>
      <c r="B64" s="3" t="n">
        <v>45</v>
      </c>
      <c r="C64" s="8" t="n">
        <v>488.52</v>
      </c>
      <c r="E64" s="32">
        <f>$F$16*C64+(1-$F$16)*(E63+F63)</f>
        <v/>
      </c>
      <c r="F64" s="32">
        <f>$F$17*(E64-E63)+(1-$F$17)*F63</f>
        <v/>
      </c>
      <c r="G64" s="32">
        <f>E63+F63</f>
        <v/>
      </c>
      <c r="H64" s="32">
        <f>C64-G64</f>
        <v/>
      </c>
      <c r="I64" s="33">
        <f>H64/C64</f>
        <v/>
      </c>
      <c r="J64" s="8" t="n"/>
      <c r="K64" s="10" t="n"/>
      <c r="L64" s="36" t="n"/>
      <c r="M64" s="8" t="n"/>
      <c r="N64" s="10" t="n"/>
      <c r="O64" s="10" t="n"/>
      <c r="P64" s="10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</row>
    <row r="65" ht="15" customHeight="1">
      <c r="A65" s="31" t="n">
        <v>40092</v>
      </c>
      <c r="B65" s="3" t="n">
        <v>46</v>
      </c>
      <c r="C65" s="8" t="n">
        <v>498.74</v>
      </c>
      <c r="E65" s="32">
        <f>$F$16*C65+(1-$F$16)*(E64+F64)</f>
        <v/>
      </c>
      <c r="F65" s="32">
        <f>$F$17*(E65-E64)+(1-$F$17)*F64</f>
        <v/>
      </c>
      <c r="G65" s="32">
        <f>E64+F64</f>
        <v/>
      </c>
      <c r="H65" s="32">
        <f>C65-G65</f>
        <v/>
      </c>
      <c r="I65" s="33">
        <f>H65/C65</f>
        <v/>
      </c>
      <c r="J65" s="8" t="n"/>
      <c r="K65" s="10" t="n"/>
      <c r="L65" s="36" t="n"/>
      <c r="M65" s="8" t="n"/>
      <c r="N65" s="10" t="n"/>
      <c r="O65" s="10" t="n"/>
      <c r="P65" s="10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</row>
    <row r="66" ht="15" customHeight="1">
      <c r="A66" s="31" t="n">
        <v>40093</v>
      </c>
      <c r="B66" s="3" t="n">
        <v>47</v>
      </c>
      <c r="C66" s="8" t="n">
        <v>517.54</v>
      </c>
      <c r="E66" s="32">
        <f>$F$16*C66+(1-$F$16)*(E65+F65)</f>
        <v/>
      </c>
      <c r="F66" s="32">
        <f>$F$17*(E66-E65)+(1-$F$17)*F65</f>
        <v/>
      </c>
      <c r="G66" s="32">
        <f>E65+F65</f>
        <v/>
      </c>
      <c r="H66" s="32">
        <f>C66-G66</f>
        <v/>
      </c>
      <c r="I66" s="33">
        <f>H66/C66</f>
        <v/>
      </c>
      <c r="J66" s="8" t="n"/>
      <c r="K66" s="10" t="n"/>
      <c r="L66" s="36" t="n"/>
      <c r="M66" s="8" t="n"/>
      <c r="N66" s="10" t="n"/>
      <c r="O66" s="10" t="n"/>
      <c r="P66" s="10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</row>
    <row r="67" ht="15" customHeight="1">
      <c r="A67" s="31" t="n">
        <v>40094</v>
      </c>
      <c r="B67" s="3" t="n">
        <v>48</v>
      </c>
      <c r="C67" s="8" t="n">
        <v>514.1799999999999</v>
      </c>
      <c r="E67" s="32">
        <f>$F$16*C67+(1-$F$16)*(E66+F66)</f>
        <v/>
      </c>
      <c r="F67" s="32">
        <f>$F$17*(E67-E66)+(1-$F$17)*F66</f>
        <v/>
      </c>
      <c r="G67" s="32">
        <f>E66+F66</f>
        <v/>
      </c>
      <c r="H67" s="32">
        <f>C67-G67</f>
        <v/>
      </c>
      <c r="I67" s="33">
        <f>H67/C67</f>
        <v/>
      </c>
      <c r="J67" s="8" t="n"/>
      <c r="K67" s="10" t="n"/>
      <c r="L67" s="36" t="n"/>
      <c r="M67" s="8" t="n"/>
      <c r="N67" s="10" t="n"/>
      <c r="O67" s="10" t="n"/>
      <c r="P67" s="10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</row>
    <row r="68" ht="15" customHeight="1">
      <c r="A68" s="31" t="n">
        <v>40095</v>
      </c>
      <c r="B68" s="3" t="n">
        <v>49</v>
      </c>
      <c r="C68" s="8" t="n">
        <v>516.25</v>
      </c>
      <c r="E68" s="32">
        <f>$F$16*C68+(1-$F$16)*(E67+F67)</f>
        <v/>
      </c>
      <c r="F68" s="32">
        <f>$F$17*(E68-E67)+(1-$F$17)*F67</f>
        <v/>
      </c>
      <c r="G68" s="32">
        <f>E67+F67</f>
        <v/>
      </c>
      <c r="H68" s="32">
        <f>C68-G68</f>
        <v/>
      </c>
      <c r="I68" s="33">
        <f>H68/C68</f>
        <v/>
      </c>
      <c r="J68" s="8" t="n"/>
      <c r="K68" s="10" t="n"/>
      <c r="L68" s="36" t="n"/>
      <c r="M68" s="8" t="n"/>
      <c r="N68" s="10" t="n"/>
      <c r="O68" s="10" t="n"/>
      <c r="P68" s="10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</row>
    <row r="69" ht="15" customHeight="1">
      <c r="A69" s="31" t="n">
        <v>40098</v>
      </c>
      <c r="B69" s="3" t="n">
        <v>50</v>
      </c>
      <c r="C69" s="8" t="n">
        <v>524.04</v>
      </c>
      <c r="E69" s="32">
        <f>$F$16*C69+(1-$F$16)*(E68+F68)</f>
        <v/>
      </c>
      <c r="F69" s="32">
        <f>$F$17*(E69-E68)+(1-$F$17)*F68</f>
        <v/>
      </c>
      <c r="G69" s="32">
        <f>E68+F68</f>
        <v/>
      </c>
      <c r="H69" s="32">
        <f>C69-G69</f>
        <v/>
      </c>
      <c r="I69" s="33">
        <f>H69/C69</f>
        <v/>
      </c>
      <c r="J69" s="8" t="n"/>
      <c r="K69" s="10" t="n"/>
      <c r="L69" s="36" t="n"/>
      <c r="M69" s="8" t="n"/>
      <c r="N69" s="10" t="n"/>
      <c r="O69" s="10" t="n"/>
      <c r="P69" s="10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</row>
    <row r="70" ht="15" customHeight="1">
      <c r="A70" s="31" t="n">
        <v>40099</v>
      </c>
      <c r="B70" s="3" t="n">
        <v>51</v>
      </c>
      <c r="C70" s="8" t="n">
        <v>526.11</v>
      </c>
      <c r="E70" s="32">
        <f>$F$16*C70+(1-$F$16)*(E69+F69)</f>
        <v/>
      </c>
      <c r="F70" s="32">
        <f>$F$17*(E70-E69)+(1-$F$17)*F69</f>
        <v/>
      </c>
      <c r="G70" s="32">
        <f>E69+F69</f>
        <v/>
      </c>
      <c r="H70" s="32">
        <f>C70-G70</f>
        <v/>
      </c>
      <c r="I70" s="33">
        <f>H70/C70</f>
        <v/>
      </c>
      <c r="J70" s="8" t="n"/>
      <c r="K70" s="10" t="n"/>
      <c r="L70" s="36" t="n"/>
      <c r="M70" s="8" t="n"/>
      <c r="N70" s="10" t="n"/>
      <c r="O70" s="10" t="n"/>
      <c r="P70" s="10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</row>
    <row r="71" ht="15" customHeight="1">
      <c r="A71" s="31" t="n">
        <v>40100</v>
      </c>
      <c r="B71" s="3" t="n">
        <v>52</v>
      </c>
      <c r="C71" s="8" t="n">
        <v>535.3200000000001</v>
      </c>
      <c r="E71" s="32">
        <f>$F$16*C71+(1-$F$16)*(E70+F70)</f>
        <v/>
      </c>
      <c r="F71" s="32">
        <f>$F$17*(E71-E70)+(1-$F$17)*F70</f>
        <v/>
      </c>
      <c r="G71" s="32">
        <f>E70+F70</f>
        <v/>
      </c>
      <c r="H71" s="32">
        <f>C71-G71</f>
        <v/>
      </c>
      <c r="I71" s="33">
        <f>H71/C71</f>
        <v/>
      </c>
      <c r="J71" s="8" t="n"/>
      <c r="K71" s="10" t="n"/>
      <c r="L71" s="36" t="n"/>
      <c r="M71" s="8" t="n"/>
      <c r="N71" s="10" t="n"/>
      <c r="O71" s="10" t="n"/>
      <c r="P71" s="10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</row>
    <row r="72" ht="15" customHeight="1">
      <c r="A72" s="31" t="n">
        <v>40101</v>
      </c>
      <c r="B72" s="3" t="n">
        <v>53</v>
      </c>
      <c r="C72" s="8" t="n">
        <v>529.91</v>
      </c>
      <c r="E72" s="32">
        <f>$F$16*C72+(1-$F$16)*(E71+F71)</f>
        <v/>
      </c>
      <c r="F72" s="32">
        <f>$F$17*(E72-E71)+(1-$F$17)*F71</f>
        <v/>
      </c>
      <c r="G72" s="32">
        <f>E71+F71</f>
        <v/>
      </c>
      <c r="H72" s="32">
        <f>C72-G72</f>
        <v/>
      </c>
      <c r="I72" s="33">
        <f>H72/C72</f>
        <v/>
      </c>
      <c r="J72" s="8" t="n"/>
      <c r="K72" s="10" t="n"/>
      <c r="L72" s="36" t="n"/>
      <c r="M72" s="8" t="n"/>
      <c r="N72" s="10" t="n"/>
      <c r="O72" s="10" t="n"/>
      <c r="P72" s="10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</row>
    <row r="73" ht="15" customHeight="1">
      <c r="A73" s="31" t="n">
        <v>40102</v>
      </c>
      <c r="B73" s="3" t="n">
        <v>54</v>
      </c>
      <c r="C73" s="8" t="n">
        <v>549.85</v>
      </c>
      <c r="E73" s="32">
        <f>$F$16*C73+(1-$F$16)*(E72+F72)</f>
        <v/>
      </c>
      <c r="F73" s="32">
        <f>$F$17*(E73-E72)+(1-$F$17)*F72</f>
        <v/>
      </c>
      <c r="G73" s="32">
        <f>E72+F72</f>
        <v/>
      </c>
      <c r="H73" s="32">
        <f>C73-G73</f>
        <v/>
      </c>
      <c r="I73" s="33">
        <f>H73/C73</f>
        <v/>
      </c>
      <c r="J73" s="8" t="n"/>
      <c r="K73" s="10" t="n"/>
      <c r="L73" s="36" t="n"/>
      <c r="M73" s="8" t="n"/>
      <c r="N73" s="10" t="n"/>
      <c r="O73" s="10" t="n"/>
      <c r="P73" s="10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</row>
    <row r="74" ht="15" customHeight="1">
      <c r="A74" s="31" t="n">
        <v>40105</v>
      </c>
      <c r="B74" s="3" t="n">
        <v>55</v>
      </c>
      <c r="C74" s="8" t="n">
        <v>552.09</v>
      </c>
      <c r="E74" s="32">
        <f>$F$16*C74+(1-$F$16)*(E73+F73)</f>
        <v/>
      </c>
      <c r="F74" s="32">
        <f>$F$17*(E74-E73)+(1-$F$17)*F73</f>
        <v/>
      </c>
      <c r="G74" s="32">
        <f>E73+F73</f>
        <v/>
      </c>
      <c r="H74" s="32">
        <f>C74-G74</f>
        <v/>
      </c>
      <c r="I74" s="33">
        <f>H74/C74</f>
        <v/>
      </c>
      <c r="J74" s="8" t="n"/>
      <c r="K74" s="10" t="n"/>
      <c r="L74" s="36" t="n"/>
      <c r="M74" s="8" t="n"/>
      <c r="N74" s="10" t="n"/>
      <c r="O74" s="10" t="n"/>
      <c r="P74" s="10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</row>
    <row r="75" ht="15" customHeight="1">
      <c r="A75" s="31" t="n">
        <v>40106</v>
      </c>
      <c r="B75" s="3" t="n">
        <v>56</v>
      </c>
      <c r="C75" s="8" t="n">
        <v>551.72</v>
      </c>
      <c r="E75" s="32">
        <f>$F$16*C75+(1-$F$16)*(E74+F74)</f>
        <v/>
      </c>
      <c r="F75" s="32">
        <f>$F$17*(E75-E74)+(1-$F$17)*F74</f>
        <v/>
      </c>
      <c r="G75" s="32">
        <f>E74+F74</f>
        <v/>
      </c>
      <c r="H75" s="32">
        <f>C75-G75</f>
        <v/>
      </c>
      <c r="I75" s="33">
        <f>H75/C75</f>
        <v/>
      </c>
      <c r="J75" s="8" t="n"/>
      <c r="K75" s="10" t="n"/>
      <c r="L75" s="36" t="n"/>
      <c r="M75" s="8" t="n"/>
      <c r="N75" s="10" t="n"/>
      <c r="O75" s="10" t="n"/>
      <c r="P75" s="10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</row>
    <row r="76" ht="15" customHeight="1">
      <c r="A76" s="31" t="n">
        <v>40107</v>
      </c>
      <c r="B76" s="3" t="n">
        <v>57</v>
      </c>
      <c r="C76" s="8" t="n">
        <v>551.1</v>
      </c>
      <c r="E76" s="32">
        <f>$F$16*C76+(1-$F$16)*(E75+F75)</f>
        <v/>
      </c>
      <c r="F76" s="32">
        <f>$F$17*(E76-E75)+(1-$F$17)*F75</f>
        <v/>
      </c>
      <c r="G76" s="32">
        <f>E75+F75</f>
        <v/>
      </c>
      <c r="H76" s="32">
        <f>C76-G76</f>
        <v/>
      </c>
      <c r="I76" s="33">
        <f>H76/C76</f>
        <v/>
      </c>
      <c r="J76" s="8" t="n"/>
      <c r="K76" s="10" t="n"/>
      <c r="L76" s="36" t="n"/>
      <c r="M76" s="8" t="n"/>
      <c r="N76" s="10" t="n"/>
      <c r="O76" s="10" t="n"/>
      <c r="P76" s="10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</row>
    <row r="77" ht="15" customHeight="1">
      <c r="A77" s="31" t="n">
        <v>40108</v>
      </c>
      <c r="B77" s="3" t="n">
        <v>58</v>
      </c>
      <c r="C77" s="8" t="n">
        <v>554.09</v>
      </c>
      <c r="E77" s="32">
        <f>$F$16*C77+(1-$F$16)*(E76+F76)</f>
        <v/>
      </c>
      <c r="F77" s="32">
        <f>$F$17*(E77-E76)+(1-$F$17)*F76</f>
        <v/>
      </c>
      <c r="G77" s="32">
        <f>E76+F76</f>
        <v/>
      </c>
      <c r="H77" s="32">
        <f>C77-G77</f>
        <v/>
      </c>
      <c r="I77" s="33">
        <f>H77/C77</f>
        <v/>
      </c>
      <c r="J77" s="8" t="n"/>
      <c r="K77" s="10" t="n"/>
      <c r="L77" s="36" t="n"/>
      <c r="M77" s="8" t="n"/>
      <c r="N77" s="10" t="n"/>
      <c r="O77" s="10" t="n"/>
      <c r="P77" s="10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</row>
    <row r="78" ht="15" customHeight="1">
      <c r="A78" s="31" t="n">
        <v>40109</v>
      </c>
      <c r="B78" s="3" t="n">
        <v>59</v>
      </c>
      <c r="C78" s="8" t="n">
        <v>553.6900000000001</v>
      </c>
      <c r="E78" s="32">
        <f>$F$16*C78+(1-$F$16)*(E77+F77)</f>
        <v/>
      </c>
      <c r="F78" s="32">
        <f>$F$17*(E78-E77)+(1-$F$17)*F77</f>
        <v/>
      </c>
      <c r="G78" s="32">
        <f>E77+F77</f>
        <v/>
      </c>
      <c r="H78" s="32">
        <f>C78-G78</f>
        <v/>
      </c>
      <c r="I78" s="33">
        <f>H78/C78</f>
        <v/>
      </c>
      <c r="J78" s="8" t="n"/>
      <c r="K78" s="10" t="n"/>
      <c r="L78" s="36" t="n"/>
      <c r="M78" s="8" t="n"/>
      <c r="N78" s="10" t="n"/>
      <c r="O78" s="10" t="n"/>
      <c r="P78" s="10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</row>
    <row r="79" ht="15" customHeight="1">
      <c r="A79" s="31" t="n">
        <v>40112</v>
      </c>
      <c r="B79" s="3" t="n">
        <v>60</v>
      </c>
      <c r="C79" s="8" t="n">
        <v>554.21</v>
      </c>
      <c r="E79" s="32">
        <f>$F$16*C79+(1-$F$16)*(E78+F78)</f>
        <v/>
      </c>
      <c r="F79" s="32">
        <f>$F$17*(E79-E78)+(1-$F$17)*F78</f>
        <v/>
      </c>
      <c r="G79" s="32">
        <f>E78+F78</f>
        <v/>
      </c>
      <c r="H79" s="32">
        <f>C79-G79</f>
        <v/>
      </c>
      <c r="I79" s="33">
        <f>H79/C79</f>
        <v/>
      </c>
      <c r="J79" s="8" t="n"/>
      <c r="K79" s="10" t="n"/>
      <c r="L79" s="36" t="n"/>
      <c r="M79" s="8" t="n"/>
      <c r="N79" s="10" t="n"/>
      <c r="O79" s="10" t="n"/>
      <c r="P79" s="10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</row>
    <row r="80" ht="15" customHeight="1">
      <c r="A80" s="31" t="n">
        <v>40113</v>
      </c>
      <c r="B80" s="3" t="n">
        <v>61</v>
      </c>
      <c r="C80" s="8" t="n">
        <v>548.29</v>
      </c>
      <c r="E80" s="32">
        <f>$F$16*C80+(1-$F$16)*(E79+F79)</f>
        <v/>
      </c>
      <c r="F80" s="32">
        <f>$F$17*(E80-E79)+(1-$F$17)*F79</f>
        <v/>
      </c>
      <c r="G80" s="32">
        <f>E79+F79</f>
        <v/>
      </c>
      <c r="H80" s="32">
        <f>C80-G80</f>
        <v/>
      </c>
      <c r="I80" s="33">
        <f>H80/C80</f>
        <v/>
      </c>
      <c r="J80" s="8" t="n"/>
      <c r="K80" s="10" t="n"/>
      <c r="L80" s="36" t="n"/>
      <c r="M80" s="8" t="n"/>
      <c r="N80" s="10" t="n"/>
      <c r="O80" s="10" t="n"/>
      <c r="P80" s="10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</row>
    <row r="81" ht="15" customHeight="1">
      <c r="A81" s="31" t="n">
        <v>40114</v>
      </c>
      <c r="B81" s="3" t="n">
        <v>62</v>
      </c>
      <c r="C81" s="8" t="n">
        <v>540.3</v>
      </c>
      <c r="E81" s="32">
        <f>$F$16*C81+(1-$F$16)*(E80+F80)</f>
        <v/>
      </c>
      <c r="F81" s="32">
        <f>$F$17*(E81-E80)+(1-$F$17)*F80</f>
        <v/>
      </c>
      <c r="G81" s="32">
        <f>E80+F80</f>
        <v/>
      </c>
      <c r="H81" s="32">
        <f>C81-G81</f>
        <v/>
      </c>
      <c r="I81" s="33">
        <f>H81/C81</f>
        <v/>
      </c>
      <c r="J81" s="8" t="n"/>
      <c r="K81" s="10" t="n"/>
      <c r="L81" s="36" t="n"/>
      <c r="M81" s="8" t="n"/>
      <c r="N81" s="10" t="n"/>
      <c r="O81" s="10" t="n"/>
      <c r="P81" s="10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</row>
    <row r="82" ht="15" customHeight="1">
      <c r="A82" s="31" t="n">
        <v>40115</v>
      </c>
      <c r="B82" s="3" t="n">
        <v>63</v>
      </c>
      <c r="C82" s="8" t="n">
        <v>551.05</v>
      </c>
      <c r="E82" s="32">
        <f>$F$16*C82+(1-$F$16)*(E81+F81)</f>
        <v/>
      </c>
      <c r="F82" s="32">
        <f>$F$17*(E82-E81)+(1-$F$17)*F81</f>
        <v/>
      </c>
      <c r="G82" s="32">
        <f>E81+F81</f>
        <v/>
      </c>
      <c r="H82" s="32">
        <f>C82-G82</f>
        <v/>
      </c>
      <c r="I82" s="33">
        <f>H82/C82</f>
        <v/>
      </c>
      <c r="J82" s="8" t="n"/>
      <c r="K82" s="10" t="n"/>
      <c r="L82" s="36" t="n"/>
      <c r="M82" s="8" t="n"/>
      <c r="N82" s="10" t="n"/>
      <c r="O82" s="10" t="n"/>
      <c r="P82" s="10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</row>
    <row r="83" ht="15" customHeight="1">
      <c r="A83" s="31" t="n">
        <v>40116</v>
      </c>
      <c r="B83" s="3" t="n">
        <v>64</v>
      </c>
      <c r="C83" s="8" t="n">
        <v>536.12</v>
      </c>
      <c r="E83" s="32">
        <f>$F$16*C83+(1-$F$16)*(E82+F82)</f>
        <v/>
      </c>
      <c r="F83" s="32">
        <f>$F$17*(E83-E82)+(1-$F$17)*F82</f>
        <v/>
      </c>
      <c r="G83" s="32">
        <f>E82+F82</f>
        <v/>
      </c>
      <c r="H83" s="32">
        <f>C83-G83</f>
        <v/>
      </c>
      <c r="I83" s="33">
        <f>H83/C83</f>
        <v/>
      </c>
      <c r="J83" s="8" t="n"/>
      <c r="K83" s="10" t="n"/>
      <c r="L83" s="36" t="n"/>
      <c r="M83" s="8" t="n"/>
      <c r="N83" s="10" t="n"/>
      <c r="O83" s="10" t="n"/>
      <c r="P83" s="10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</row>
    <row r="84" ht="15" customHeight="1">
      <c r="A84" s="31" t="n">
        <v>40119</v>
      </c>
      <c r="B84" s="3" t="n">
        <v>65</v>
      </c>
      <c r="C84" s="8" t="n">
        <v>533.99</v>
      </c>
      <c r="E84" s="32">
        <f>$F$16*C84+(1-$F$16)*(E83+F83)</f>
        <v/>
      </c>
      <c r="F84" s="32">
        <f>$F$17*(E84-E83)+(1-$F$17)*F83</f>
        <v/>
      </c>
      <c r="G84" s="32">
        <f>E83+F83</f>
        <v/>
      </c>
      <c r="H84" s="32">
        <f>C84-G84</f>
        <v/>
      </c>
      <c r="I84" s="33">
        <f>H84/C84</f>
        <v/>
      </c>
      <c r="J84" s="8" t="n"/>
      <c r="K84" s="10" t="n"/>
      <c r="L84" s="36" t="n"/>
      <c r="M84" s="8" t="n"/>
      <c r="N84" s="10" t="n"/>
      <c r="O84" s="10" t="n"/>
      <c r="P84" s="10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</row>
    <row r="85" ht="15" customHeight="1">
      <c r="A85" s="31" t="n">
        <v>40120</v>
      </c>
      <c r="B85" s="3" t="n">
        <v>66</v>
      </c>
      <c r="C85" s="8" t="n">
        <v>537.29</v>
      </c>
      <c r="E85" s="32">
        <f>$F$16*C85+(1-$F$16)*(E84+F84)</f>
        <v/>
      </c>
      <c r="F85" s="32">
        <f>$F$17*(E85-E84)+(1-$F$17)*F84</f>
        <v/>
      </c>
      <c r="G85" s="32">
        <f>E84+F84</f>
        <v/>
      </c>
      <c r="H85" s="32">
        <f>C85-G85</f>
        <v/>
      </c>
      <c r="I85" s="33">
        <f>H85/C85</f>
        <v/>
      </c>
      <c r="J85" s="8" t="n"/>
      <c r="K85" s="10" t="n"/>
      <c r="L85" s="36" t="n"/>
      <c r="M85" s="8" t="n"/>
      <c r="N85" s="10" t="n"/>
      <c r="O85" s="10" t="n"/>
      <c r="P85" s="10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</row>
    <row r="86" ht="15" customHeight="1">
      <c r="A86" s="31" t="n">
        <v>40121</v>
      </c>
      <c r="B86" s="3" t="n">
        <v>67</v>
      </c>
      <c r="C86" s="8" t="n">
        <v>540.33</v>
      </c>
      <c r="E86" s="32">
        <f>$F$16*C86+(1-$F$16)*(E85+F85)</f>
        <v/>
      </c>
      <c r="F86" s="32">
        <f>$F$17*(E86-E85)+(1-$F$17)*F85</f>
        <v/>
      </c>
      <c r="G86" s="32">
        <f>E85+F85</f>
        <v/>
      </c>
      <c r="H86" s="32">
        <f>C86-G86</f>
        <v/>
      </c>
      <c r="I86" s="33">
        <f>H86/C86</f>
        <v/>
      </c>
      <c r="J86" s="8" t="n"/>
      <c r="K86" s="10" t="n"/>
      <c r="L86" s="36" t="n"/>
      <c r="M86" s="8" t="n"/>
      <c r="N86" s="10" t="n"/>
      <c r="O86" s="10" t="n"/>
      <c r="P86" s="10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</row>
    <row r="87" ht="15" customHeight="1">
      <c r="A87" s="31" t="n">
        <v>40122</v>
      </c>
      <c r="B87" s="3" t="n">
        <v>68</v>
      </c>
      <c r="C87" s="8" t="n">
        <v>548.65</v>
      </c>
      <c r="E87" s="32">
        <f>$F$16*C87+(1-$F$16)*(E86+F86)</f>
        <v/>
      </c>
      <c r="F87" s="32">
        <f>$F$17*(E87-E86)+(1-$F$17)*F86</f>
        <v/>
      </c>
      <c r="G87" s="32">
        <f>E86+F86</f>
        <v/>
      </c>
      <c r="H87" s="32">
        <f>C87-G87</f>
        <v/>
      </c>
      <c r="I87" s="33">
        <f>H87/C87</f>
        <v/>
      </c>
      <c r="J87" s="8" t="n"/>
      <c r="K87" s="10" t="n"/>
      <c r="L87" s="36" t="n"/>
      <c r="M87" s="8" t="n"/>
      <c r="N87" s="10" t="n"/>
      <c r="O87" s="10" t="n"/>
      <c r="P87" s="10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</row>
    <row r="88" ht="15" customHeight="1">
      <c r="A88" s="31" t="n">
        <v>40123</v>
      </c>
      <c r="B88" s="3" t="n">
        <v>69</v>
      </c>
      <c r="C88" s="8" t="n">
        <v>551.1</v>
      </c>
      <c r="E88" s="32">
        <f>$F$16*C88+(1-$F$16)*(E87+F87)</f>
        <v/>
      </c>
      <c r="F88" s="32">
        <f>$F$17*(E88-E87)+(1-$F$17)*F87</f>
        <v/>
      </c>
      <c r="G88" s="32">
        <f>E87+F87</f>
        <v/>
      </c>
      <c r="H88" s="32">
        <f>C88-G88</f>
        <v/>
      </c>
      <c r="I88" s="33">
        <f>H88/C88</f>
        <v/>
      </c>
      <c r="J88" s="8" t="n"/>
      <c r="K88" s="10" t="n"/>
      <c r="L88" s="36" t="n"/>
      <c r="M88" s="8" t="n"/>
      <c r="N88" s="10" t="n"/>
      <c r="O88" s="10" t="n"/>
      <c r="P88" s="10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</row>
    <row r="89" ht="15" customHeight="1">
      <c r="A89" s="31" t="n">
        <v>40126</v>
      </c>
      <c r="B89" s="3" t="n">
        <v>70</v>
      </c>
      <c r="C89" s="8" t="n">
        <v>562.51</v>
      </c>
      <c r="E89" s="32">
        <f>$F$16*C89+(1-$F$16)*(E88+F88)</f>
        <v/>
      </c>
      <c r="F89" s="32">
        <f>$F$17*(E89-E88)+(1-$F$17)*F88</f>
        <v/>
      </c>
      <c r="G89" s="32">
        <f>E88+F88</f>
        <v/>
      </c>
      <c r="H89" s="32">
        <f>C89-G89</f>
        <v/>
      </c>
      <c r="I89" s="33">
        <f>H89/C89</f>
        <v/>
      </c>
      <c r="J89" s="8" t="n"/>
      <c r="K89" s="10" t="n"/>
      <c r="L89" s="36" t="n"/>
      <c r="M89" s="8" t="n"/>
      <c r="N89" s="10" t="n"/>
      <c r="O89" s="10" t="n"/>
      <c r="P89" s="10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</row>
    <row r="90" ht="15" customHeight="1">
      <c r="A90" s="31" t="n">
        <v>40127</v>
      </c>
      <c r="B90" s="3" t="n">
        <v>71</v>
      </c>
      <c r="C90" s="8" t="n">
        <v>566.76</v>
      </c>
      <c r="E90" s="32">
        <f>$F$16*C90+(1-$F$16)*(E89+F89)</f>
        <v/>
      </c>
      <c r="F90" s="32">
        <f>$F$17*(E90-E89)+(1-$F$17)*F89</f>
        <v/>
      </c>
      <c r="G90" s="32">
        <f>E89+F89</f>
        <v/>
      </c>
      <c r="H90" s="32">
        <f>C90-G90</f>
        <v/>
      </c>
      <c r="I90" s="33">
        <f>H90/C90</f>
        <v/>
      </c>
      <c r="J90" s="8" t="n"/>
      <c r="K90" s="10" t="n"/>
      <c r="L90" s="36" t="n"/>
      <c r="M90" s="8" t="n"/>
      <c r="N90" s="10" t="n"/>
      <c r="O90" s="10" t="n"/>
      <c r="P90" s="10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</row>
    <row r="91" ht="15" customHeight="1">
      <c r="A91" s="31" t="n">
        <v>40128</v>
      </c>
      <c r="B91" s="3" t="n">
        <v>72</v>
      </c>
      <c r="C91" s="8" t="n">
        <v>570.5599999999999</v>
      </c>
      <c r="E91" s="32">
        <f>$F$16*C91+(1-$F$16)*(E90+F90)</f>
        <v/>
      </c>
      <c r="F91" s="32">
        <f>$F$17*(E91-E90)+(1-$F$17)*F90</f>
        <v/>
      </c>
      <c r="G91" s="32">
        <f>E90+F90</f>
        <v/>
      </c>
      <c r="H91" s="32">
        <f>C91-G91</f>
        <v/>
      </c>
      <c r="I91" s="33">
        <f>H91/C91</f>
        <v/>
      </c>
      <c r="J91" s="8" t="n"/>
      <c r="K91" s="10" t="n"/>
      <c r="L91" s="36" t="n"/>
      <c r="M91" s="8" t="n"/>
      <c r="N91" s="10" t="n"/>
      <c r="O91" s="10" t="n"/>
      <c r="P91" s="10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</row>
    <row r="92" ht="15" customHeight="1">
      <c r="A92" s="31" t="n">
        <v>40129</v>
      </c>
      <c r="B92" s="3" t="n">
        <v>73</v>
      </c>
      <c r="C92" s="8" t="n">
        <v>567.85</v>
      </c>
      <c r="E92" s="32">
        <f>$F$16*C92+(1-$F$16)*(E91+F91)</f>
        <v/>
      </c>
      <c r="F92" s="32">
        <f>$F$17*(E92-E91)+(1-$F$17)*F91</f>
        <v/>
      </c>
      <c r="G92" s="32">
        <f>E91+F91</f>
        <v/>
      </c>
      <c r="H92" s="32">
        <f>C92-G92</f>
        <v/>
      </c>
      <c r="I92" s="33">
        <f>H92/C92</f>
        <v/>
      </c>
      <c r="J92" s="8" t="n"/>
      <c r="K92" s="10" t="n"/>
      <c r="L92" s="36" t="n"/>
      <c r="M92" s="8" t="n"/>
      <c r="N92" s="10" t="n"/>
      <c r="O92" s="10" t="n"/>
      <c r="P92" s="10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</row>
    <row r="93" ht="15" customHeight="1">
      <c r="A93" s="31" t="n">
        <v>40130</v>
      </c>
      <c r="B93" s="3" t="n">
        <v>74</v>
      </c>
      <c r="C93" s="8" t="n">
        <v>572.05</v>
      </c>
      <c r="E93" s="32">
        <f>$F$16*C93+(1-$F$16)*(E92+F92)</f>
        <v/>
      </c>
      <c r="F93" s="32">
        <f>$F$17*(E93-E92)+(1-$F$17)*F92</f>
        <v/>
      </c>
      <c r="G93" s="32">
        <f>E92+F92</f>
        <v/>
      </c>
      <c r="H93" s="32">
        <f>C93-G93</f>
        <v/>
      </c>
      <c r="I93" s="33">
        <f>H93/C93</f>
        <v/>
      </c>
      <c r="J93" s="8" t="n"/>
      <c r="K93" s="10" t="n"/>
      <c r="L93" s="36" t="n"/>
      <c r="M93" s="8" t="n"/>
      <c r="N93" s="10" t="n"/>
      <c r="O93" s="10" t="n"/>
      <c r="P93" s="10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</row>
    <row r="94" ht="15" customHeight="1">
      <c r="A94" s="31" t="n">
        <v>40133</v>
      </c>
      <c r="B94" s="3" t="n">
        <v>75</v>
      </c>
      <c r="C94" s="8" t="n">
        <v>576.28</v>
      </c>
      <c r="E94" s="32">
        <f>$F$16*C94+(1-$F$16)*(E93+F93)</f>
        <v/>
      </c>
      <c r="F94" s="32">
        <f>$F$17*(E94-E93)+(1-$F$17)*F93</f>
        <v/>
      </c>
      <c r="G94" s="32">
        <f>E93+F93</f>
        <v/>
      </c>
      <c r="H94" s="32">
        <f>C94-G94</f>
        <v/>
      </c>
      <c r="I94" s="33">
        <f>H94/C94</f>
        <v/>
      </c>
      <c r="J94" s="8" t="n"/>
      <c r="K94" s="10" t="n"/>
      <c r="L94" s="36" t="n"/>
      <c r="M94" s="8" t="n"/>
      <c r="N94" s="10" t="n"/>
      <c r="O94" s="10" t="n"/>
      <c r="P94" s="10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</row>
    <row r="95" ht="15" customHeight="1">
      <c r="A95" s="31" t="n">
        <v>40134</v>
      </c>
      <c r="B95" s="3" t="n">
        <v>76</v>
      </c>
      <c r="C95" s="8" t="n">
        <v>577.49</v>
      </c>
      <c r="E95" s="32">
        <f>$F$16*C95+(1-$F$16)*(E94+F94)</f>
        <v/>
      </c>
      <c r="F95" s="32">
        <f>$F$17*(E95-E94)+(1-$F$17)*F94</f>
        <v/>
      </c>
      <c r="G95" s="32">
        <f>E94+F94</f>
        <v/>
      </c>
      <c r="H95" s="32">
        <f>C95-G95</f>
        <v/>
      </c>
      <c r="I95" s="33">
        <f>H95/C95</f>
        <v/>
      </c>
      <c r="J95" s="8" t="n"/>
      <c r="K95" s="10" t="n"/>
      <c r="L95" s="36" t="n"/>
      <c r="M95" s="8" t="n"/>
      <c r="N95" s="10" t="n"/>
      <c r="O95" s="10" t="n"/>
      <c r="P95" s="10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</row>
    <row r="96" ht="15" customHeight="1">
      <c r="A96" s="31" t="n">
        <v>40135</v>
      </c>
      <c r="B96" s="3" t="n">
        <v>77</v>
      </c>
      <c r="C96" s="8" t="n">
        <v>576.65</v>
      </c>
      <c r="E96" s="32">
        <f>$F$16*C96+(1-$F$16)*(E95+F95)</f>
        <v/>
      </c>
      <c r="F96" s="32">
        <f>$F$17*(E96-E95)+(1-$F$17)*F95</f>
        <v/>
      </c>
      <c r="G96" s="32">
        <f>E95+F95</f>
        <v/>
      </c>
      <c r="H96" s="32">
        <f>C96-G96</f>
        <v/>
      </c>
      <c r="I96" s="33">
        <f>H96/C96</f>
        <v/>
      </c>
      <c r="J96" s="8" t="n"/>
      <c r="K96" s="10" t="n"/>
      <c r="L96" s="36" t="n"/>
      <c r="M96" s="8" t="n"/>
      <c r="N96" s="10" t="n"/>
      <c r="O96" s="10" t="n"/>
      <c r="P96" s="10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</row>
    <row r="97" ht="15" customHeight="1">
      <c r="A97" s="31" t="n">
        <v>40136</v>
      </c>
      <c r="B97" s="3" t="n">
        <v>78</v>
      </c>
      <c r="C97" s="8" t="n">
        <v>572.99</v>
      </c>
      <c r="E97" s="32">
        <f>$F$16*C97+(1-$F$16)*(E96+F96)</f>
        <v/>
      </c>
      <c r="F97" s="32">
        <f>$F$17*(E97-E96)+(1-$F$17)*F96</f>
        <v/>
      </c>
      <c r="G97" s="32">
        <f>E96+F96</f>
        <v/>
      </c>
      <c r="H97" s="32">
        <f>C97-G97</f>
        <v/>
      </c>
      <c r="I97" s="33">
        <f>H97/C97</f>
        <v/>
      </c>
      <c r="J97" s="8" t="n"/>
      <c r="K97" s="10" t="n"/>
      <c r="L97" s="36" t="n"/>
      <c r="M97" s="8" t="n"/>
      <c r="N97" s="10" t="n"/>
      <c r="O97" s="10" t="n"/>
      <c r="P97" s="10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</row>
    <row r="98" ht="15" customHeight="1">
      <c r="A98" s="31" t="n">
        <v>40137</v>
      </c>
      <c r="B98" s="3" t="n">
        <v>79</v>
      </c>
      <c r="C98" s="8" t="n">
        <v>569.96</v>
      </c>
      <c r="E98" s="32">
        <f>$F$16*C98+(1-$F$16)*(E97+F97)</f>
        <v/>
      </c>
      <c r="F98" s="32">
        <f>$F$17*(E98-E97)+(1-$F$17)*F97</f>
        <v/>
      </c>
      <c r="G98" s="32">
        <f>E97+F97</f>
        <v/>
      </c>
      <c r="H98" s="32">
        <f>C98-G98</f>
        <v/>
      </c>
      <c r="I98" s="33">
        <f>H98/C98</f>
        <v/>
      </c>
      <c r="J98" s="8" t="n"/>
      <c r="K98" s="10" t="n"/>
      <c r="L98" s="36" t="n"/>
      <c r="M98" s="8" t="n"/>
      <c r="N98" s="10" t="n"/>
      <c r="O98" s="10" t="n"/>
      <c r="P98" s="10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</row>
    <row r="99" ht="15" customHeight="1">
      <c r="A99" s="31" t="n">
        <v>40140</v>
      </c>
      <c r="B99" s="3" t="n">
        <v>80</v>
      </c>
      <c r="C99" s="8" t="n">
        <v>582.35</v>
      </c>
      <c r="E99" s="32">
        <f>$F$16*C99+(1-$F$16)*(E98+F98)</f>
        <v/>
      </c>
      <c r="F99" s="32">
        <f>$F$17*(E99-E98)+(1-$F$17)*F98</f>
        <v/>
      </c>
      <c r="G99" s="32">
        <f>E98+F98</f>
        <v/>
      </c>
      <c r="H99" s="32">
        <f>C99-G99</f>
        <v/>
      </c>
      <c r="I99" s="33">
        <f>H99/C99</f>
        <v/>
      </c>
      <c r="J99" s="8" t="n"/>
      <c r="K99" s="10" t="n"/>
      <c r="L99" s="36" t="n"/>
      <c r="M99" s="8" t="n"/>
      <c r="N99" s="10" t="n"/>
      <c r="O99" s="10" t="n"/>
      <c r="P99" s="10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</row>
    <row r="100" ht="15" customHeight="1">
      <c r="A100" s="31" t="n">
        <v>40141</v>
      </c>
      <c r="B100" s="3" t="n">
        <v>81</v>
      </c>
      <c r="C100" s="8" t="n">
        <v>583.09</v>
      </c>
      <c r="E100" s="32">
        <f>$F$16*C100+(1-$F$16)*(E99+F99)</f>
        <v/>
      </c>
      <c r="F100" s="32">
        <f>$F$17*(E100-E99)+(1-$F$17)*F99</f>
        <v/>
      </c>
      <c r="G100" s="32">
        <f>E99+F99</f>
        <v/>
      </c>
      <c r="H100" s="32">
        <f>C100-G100</f>
        <v/>
      </c>
      <c r="I100" s="33">
        <f>H100/C100</f>
        <v/>
      </c>
      <c r="J100" s="8" t="n"/>
      <c r="K100" s="10" t="n"/>
      <c r="L100" s="36" t="n"/>
      <c r="M100" s="8" t="n"/>
      <c r="N100" s="10" t="n"/>
      <c r="O100" s="10" t="n"/>
      <c r="P100" s="10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</row>
    <row r="101" ht="15" customHeight="1">
      <c r="A101" s="31" t="n">
        <v>40142</v>
      </c>
      <c r="B101" s="3" t="n">
        <v>82</v>
      </c>
      <c r="C101" s="8" t="n">
        <v>585.74</v>
      </c>
      <c r="E101" s="32">
        <f>$F$16*C101+(1-$F$16)*(E100+F100)</f>
        <v/>
      </c>
      <c r="F101" s="32">
        <f>$F$17*(E101-E100)+(1-$F$17)*F100</f>
        <v/>
      </c>
      <c r="G101" s="32">
        <f>E100+F100</f>
        <v/>
      </c>
      <c r="H101" s="32">
        <f>C101-G101</f>
        <v/>
      </c>
      <c r="I101" s="33">
        <f>H101/C101</f>
        <v/>
      </c>
      <c r="J101" s="8" t="n"/>
      <c r="K101" s="10" t="n"/>
      <c r="L101" s="36" t="n"/>
      <c r="M101" s="8" t="n"/>
      <c r="N101" s="10" t="n"/>
      <c r="O101" s="10" t="n"/>
      <c r="P101" s="10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</row>
    <row r="102" ht="15" customHeight="1">
      <c r="A102" s="31" t="n">
        <v>40144</v>
      </c>
      <c r="B102" s="3" t="n">
        <v>83</v>
      </c>
      <c r="C102" s="8" t="n">
        <v>579.76</v>
      </c>
      <c r="E102" s="32">
        <f>$F$16*C102+(1-$F$16)*(E101+F101)</f>
        <v/>
      </c>
      <c r="F102" s="32">
        <f>$F$17*(E102-E101)+(1-$F$17)*F101</f>
        <v/>
      </c>
      <c r="G102" s="32">
        <f>E101+F101</f>
        <v/>
      </c>
      <c r="H102" s="32">
        <f>C102-G102</f>
        <v/>
      </c>
      <c r="I102" s="33">
        <f>H102/C102</f>
        <v/>
      </c>
      <c r="J102" s="8" t="n"/>
      <c r="K102" s="10" t="n"/>
      <c r="L102" s="36" t="n"/>
      <c r="M102" s="8" t="n"/>
      <c r="N102" s="10" t="n"/>
      <c r="O102" s="10" t="n"/>
      <c r="P102" s="10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</row>
    <row r="103" ht="15" customHeight="1">
      <c r="A103" s="31" t="n">
        <v>40147</v>
      </c>
      <c r="B103" s="3" t="n">
        <v>84</v>
      </c>
      <c r="C103" s="8" t="n">
        <v>583</v>
      </c>
      <c r="E103" s="32">
        <f>$F$16*C103+(1-$F$16)*(E102+F102)</f>
        <v/>
      </c>
      <c r="F103" s="32">
        <f>$F$17*(E103-E102)+(1-$F$17)*F102</f>
        <v/>
      </c>
      <c r="G103" s="32">
        <f>E102+F102</f>
        <v/>
      </c>
      <c r="H103" s="32">
        <f>C103-G103</f>
        <v/>
      </c>
      <c r="I103" s="33">
        <f>H103/C103</f>
        <v/>
      </c>
      <c r="J103" s="8" t="n"/>
      <c r="K103" s="10" t="n"/>
      <c r="L103" s="36" t="n"/>
      <c r="M103" s="8" t="n"/>
      <c r="N103" s="10" t="n"/>
      <c r="O103" s="10" t="n"/>
      <c r="P103" s="10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</row>
    <row r="104" ht="15" customHeight="1">
      <c r="A104" s="31" t="n">
        <v>40148</v>
      </c>
      <c r="B104" s="3" t="n">
        <v>85</v>
      </c>
      <c r="C104" s="9" t="n"/>
      <c r="E104" s="32" t="n"/>
      <c r="F104" s="32" t="n"/>
      <c r="G104" s="32">
        <f>$E$103+(B104-$B$103)*$F$103</f>
        <v/>
      </c>
      <c r="H104" s="32" t="n"/>
      <c r="I104" s="33" t="n"/>
      <c r="J104" s="8" t="n"/>
      <c r="K104" s="10" t="n"/>
      <c r="M104" s="8" t="n"/>
      <c r="N104" s="10" t="n"/>
      <c r="O104" s="10" t="n"/>
      <c r="P104" s="10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</row>
    <row r="105" ht="15" customHeight="1">
      <c r="A105" s="31" t="n">
        <v>40149</v>
      </c>
      <c r="B105" s="3" t="n">
        <v>86</v>
      </c>
      <c r="C105" s="9" t="n"/>
      <c r="E105" s="32" t="n"/>
      <c r="F105" s="32" t="n"/>
      <c r="G105" s="32">
        <f>$E$103+(B105-$B$103)*$F$103</f>
        <v/>
      </c>
      <c r="H105" s="32" t="n"/>
      <c r="I105" s="33" t="n"/>
      <c r="J105" s="12" t="n"/>
      <c r="K105" s="13" t="n"/>
      <c r="L105" s="37" t="n"/>
      <c r="M105" s="12" t="n"/>
      <c r="N105" s="13" t="n"/>
      <c r="O105" s="10" t="n"/>
      <c r="P105" s="10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</row>
    <row r="106" ht="15" customHeight="1">
      <c r="A106" s="31" t="n">
        <v>40150</v>
      </c>
      <c r="B106" s="3" t="n">
        <v>87</v>
      </c>
      <c r="C106" s="9" t="n"/>
      <c r="E106" s="32" t="n"/>
      <c r="F106" s="32" t="n"/>
      <c r="G106" s="32">
        <f>$E$103+(B106-$B$103)*$F$103</f>
        <v/>
      </c>
      <c r="H106" s="32" t="n"/>
      <c r="I106" s="33" t="n"/>
      <c r="J106" s="8" t="n"/>
      <c r="K106" s="10" t="n"/>
      <c r="L106" s="10" t="n"/>
      <c r="M106" s="8" t="n"/>
      <c r="N106" s="8" t="n"/>
      <c r="O106" s="10" t="n"/>
      <c r="P106" s="10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</row>
    <row r="107" ht="15" customHeight="1">
      <c r="A107" s="31" t="n">
        <v>40151</v>
      </c>
      <c r="B107" s="3" t="n">
        <v>88</v>
      </c>
      <c r="C107" s="9" t="n"/>
      <c r="E107" s="32" t="n"/>
      <c r="F107" s="32" t="n"/>
      <c r="G107" s="32">
        <f>$E$103+(B107-$B$103)*$F$103</f>
        <v/>
      </c>
      <c r="H107" s="32" t="n"/>
      <c r="I107" s="33" t="n"/>
      <c r="J107" s="8" t="n"/>
      <c r="K107" s="10" t="n"/>
      <c r="L107" s="10" t="n"/>
      <c r="M107" s="8" t="n"/>
      <c r="N107" s="8" t="n"/>
      <c r="O107" s="10" t="n"/>
      <c r="P107" s="10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8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</row>
    <row r="108" ht="15" customHeight="1">
      <c r="A108" s="31" t="n">
        <v>40154</v>
      </c>
      <c r="B108" s="3" t="n">
        <v>89</v>
      </c>
      <c r="C108" s="9" t="n"/>
      <c r="E108" s="32" t="n"/>
      <c r="F108" s="32" t="n"/>
      <c r="G108" s="32">
        <f>$E$103+(B108-$B$103)*$F$103</f>
        <v/>
      </c>
      <c r="H108" s="32" t="n"/>
      <c r="I108" s="33" t="n"/>
      <c r="J108" s="8" t="n"/>
      <c r="K108" s="10" t="n"/>
      <c r="L108" s="10" t="n"/>
      <c r="M108" s="8" t="n"/>
      <c r="N108" s="8" t="n"/>
      <c r="O108" s="10" t="n"/>
      <c r="P108" s="10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</row>
    <row r="109" ht="15" customHeight="1">
      <c r="A109" s="31" t="n">
        <v>40155</v>
      </c>
      <c r="B109" s="3" t="n">
        <v>90</v>
      </c>
      <c r="C109" s="9" t="n"/>
      <c r="E109" s="32" t="n"/>
      <c r="F109" s="32" t="n"/>
      <c r="G109" s="32">
        <f>$E$103+(B109-$B$103)*$F$103</f>
        <v/>
      </c>
      <c r="H109" s="32" t="n"/>
      <c r="I109" s="33" t="n"/>
      <c r="J109" s="16" t="n"/>
      <c r="K109" s="10" t="n"/>
      <c r="L109" s="10" t="n"/>
      <c r="M109" s="8" t="n"/>
      <c r="N109" s="8" t="n"/>
      <c r="O109" s="13" t="n"/>
      <c r="P109" s="10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</row>
    <row r="110" ht="15" customHeight="1">
      <c r="A110" s="31" t="n">
        <v>40156</v>
      </c>
      <c r="B110" s="3" t="n">
        <v>91</v>
      </c>
      <c r="C110" s="9" t="n"/>
      <c r="E110" s="32" t="n"/>
      <c r="F110" s="32" t="n"/>
      <c r="G110" s="32">
        <f>$E$103+(B110-$B$103)*$F$103</f>
        <v/>
      </c>
      <c r="H110" s="32" t="n"/>
      <c r="I110" s="33" t="n"/>
      <c r="J110" s="8" t="n"/>
      <c r="K110" s="10" t="n"/>
      <c r="L110" s="10" t="n"/>
      <c r="M110" s="8" t="n"/>
      <c r="N110" s="8" t="n"/>
      <c r="O110" s="10" t="n"/>
      <c r="P110" s="10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8" t="n"/>
      <c r="AS110" s="8" t="n"/>
      <c r="AT110" s="8" t="n"/>
      <c r="AU110" s="8" t="n"/>
      <c r="AV110" s="8" t="n"/>
      <c r="AW110" s="8" t="n"/>
      <c r="AX110" s="8" t="n"/>
      <c r="AY110" s="8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</row>
    <row r="111" ht="15" customHeight="1">
      <c r="A111" s="31" t="n">
        <v>40157</v>
      </c>
      <c r="B111" s="3" t="n">
        <v>92</v>
      </c>
      <c r="C111" s="9" t="n"/>
      <c r="E111" s="32" t="n"/>
      <c r="F111" s="32" t="n"/>
      <c r="G111" s="32">
        <f>$E$103+(B111-$B$103)*$F$103</f>
        <v/>
      </c>
      <c r="H111" s="32" t="n"/>
      <c r="I111" s="33" t="n"/>
      <c r="J111" s="8" t="n"/>
      <c r="K111" s="10" t="n"/>
      <c r="L111" s="10" t="n"/>
      <c r="M111" s="8" t="n"/>
      <c r="N111" s="8" t="n"/>
      <c r="O111" s="10" t="n"/>
      <c r="P111" s="10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8" t="n"/>
      <c r="AU111" s="8" t="n"/>
      <c r="AV111" s="8" t="n"/>
      <c r="AW111" s="8" t="n"/>
      <c r="AX111" s="8" t="n"/>
      <c r="AY111" s="8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</row>
    <row r="112" ht="15" customHeight="1">
      <c r="A112" s="31" t="n">
        <v>40158</v>
      </c>
      <c r="B112" s="3" t="n">
        <v>93</v>
      </c>
      <c r="C112" s="9" t="n"/>
      <c r="E112" s="32" t="n"/>
      <c r="F112" s="32" t="n"/>
      <c r="G112" s="32">
        <f>$E$103+(B112-$B$103)*$F$103</f>
        <v/>
      </c>
      <c r="H112" s="32" t="n"/>
      <c r="I112" s="33" t="n"/>
      <c r="J112" s="8" t="n"/>
      <c r="K112" s="10" t="n"/>
      <c r="L112" s="10" t="n"/>
      <c r="M112" s="8" t="n"/>
      <c r="N112" s="8" t="n"/>
      <c r="O112" s="10" t="n"/>
      <c r="P112" s="10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8" t="n"/>
      <c r="AS112" s="8" t="n"/>
      <c r="AT112" s="8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</row>
    <row r="113" ht="15" customHeight="1">
      <c r="A113" s="31" t="n">
        <v>40161</v>
      </c>
      <c r="B113" s="3" t="n">
        <v>94</v>
      </c>
      <c r="C113" s="9" t="n"/>
      <c r="E113" s="32" t="n"/>
      <c r="F113" s="32" t="n"/>
      <c r="G113" s="32">
        <f>$E$103+(B113-$B$103)*$F$103</f>
        <v/>
      </c>
      <c r="H113" s="32" t="n"/>
      <c r="I113" s="33" t="n"/>
      <c r="J113" s="8" t="n"/>
      <c r="K113" s="10" t="n"/>
      <c r="L113" s="10" t="n"/>
      <c r="M113" s="8" t="n"/>
      <c r="N113" s="8" t="n"/>
      <c r="O113" s="10" t="n"/>
      <c r="P113" s="10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</row>
    <row r="114" ht="15" customHeight="1">
      <c r="A114" s="31" t="n">
        <v>40162</v>
      </c>
      <c r="B114" s="3" t="n">
        <v>95</v>
      </c>
      <c r="C114" s="9" t="n"/>
      <c r="E114" s="32" t="n"/>
      <c r="F114" s="32" t="n"/>
      <c r="G114" s="32">
        <f>$E$103+(B114-$B$103)*$F$103</f>
        <v/>
      </c>
      <c r="H114" s="32" t="n"/>
      <c r="I114" s="33" t="n"/>
      <c r="J114" s="8" t="n"/>
      <c r="K114" s="10" t="n"/>
      <c r="L114" s="10" t="n"/>
      <c r="M114" s="8" t="n"/>
      <c r="N114" s="8" t="n"/>
      <c r="O114" s="10" t="n"/>
      <c r="P114" s="10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</row>
    <row r="115" ht="15" customHeight="1">
      <c r="A115" s="31" t="n">
        <v>40163</v>
      </c>
      <c r="B115" s="3" t="n">
        <v>96</v>
      </c>
      <c r="C115" s="9" t="n"/>
      <c r="E115" s="32" t="n"/>
      <c r="F115" s="32" t="n"/>
      <c r="G115" s="32">
        <f>$E$103+(B115-$B$103)*$F$103</f>
        <v/>
      </c>
      <c r="H115" s="32" t="n"/>
      <c r="I115" s="33" t="n"/>
      <c r="J115" s="8" t="n"/>
      <c r="K115" s="10" t="n"/>
      <c r="L115" s="10" t="n"/>
      <c r="M115" s="8" t="n"/>
      <c r="N115" s="8" t="n"/>
      <c r="O115" s="10" t="n"/>
      <c r="P115" s="10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</row>
    <row r="116" ht="15" customHeight="1">
      <c r="A116" s="31" t="n">
        <v>40164</v>
      </c>
      <c r="B116" s="3" t="n">
        <v>97</v>
      </c>
      <c r="C116" s="9" t="n"/>
      <c r="E116" s="32" t="n"/>
      <c r="F116" s="32" t="n"/>
      <c r="G116" s="32">
        <f>$E$103+(B116-$B$103)*$F$103</f>
        <v/>
      </c>
      <c r="H116" s="32" t="n"/>
      <c r="I116" s="33" t="n"/>
      <c r="J116" s="8" t="n"/>
      <c r="K116" s="10" t="n"/>
      <c r="L116" s="10" t="n"/>
      <c r="M116" s="8" t="n"/>
      <c r="N116" s="8" t="n"/>
      <c r="O116" s="10" t="n"/>
      <c r="P116" s="10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</row>
    <row r="117" ht="15" customHeight="1">
      <c r="A117" s="31" t="n">
        <v>40165</v>
      </c>
      <c r="B117" s="3" t="n">
        <v>98</v>
      </c>
      <c r="C117" s="9" t="n"/>
      <c r="E117" s="32" t="n"/>
      <c r="F117" s="32" t="n"/>
      <c r="G117" s="32">
        <f>$E$103+(B117-$B$103)*$F$103</f>
        <v/>
      </c>
      <c r="H117" s="32" t="n"/>
      <c r="I117" s="33" t="n"/>
      <c r="J117" s="8" t="n"/>
      <c r="K117" s="10" t="n"/>
      <c r="L117" s="10" t="n"/>
      <c r="M117" s="8" t="n"/>
      <c r="N117" s="8" t="n"/>
      <c r="O117" s="10" t="n"/>
      <c r="P117" s="10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</row>
    <row r="118" ht="15" customHeight="1">
      <c r="A118" s="31" t="n">
        <v>40168</v>
      </c>
      <c r="B118" s="3" t="n">
        <v>99</v>
      </c>
      <c r="C118" s="9" t="n"/>
      <c r="E118" s="32" t="n"/>
      <c r="F118" s="32" t="n"/>
      <c r="G118" s="32">
        <f>$E$103+(B118-$B$103)*$F$103</f>
        <v/>
      </c>
      <c r="H118" s="32" t="n"/>
      <c r="I118" s="33" t="n"/>
      <c r="J118" s="8" t="n"/>
      <c r="K118" s="10" t="n"/>
      <c r="L118" s="10" t="n"/>
      <c r="M118" s="8" t="n"/>
      <c r="N118" s="8" t="n"/>
      <c r="O118" s="10" t="n"/>
      <c r="P118" s="10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</row>
    <row r="119" ht="15" customHeight="1">
      <c r="A119" s="31" t="n">
        <v>40169</v>
      </c>
      <c r="B119" s="3" t="n">
        <v>100</v>
      </c>
      <c r="C119" s="9" t="n"/>
      <c r="E119" s="32" t="n"/>
      <c r="F119" s="32" t="n"/>
      <c r="G119" s="32">
        <f>$E$103+(B119-$B$103)*$F$103</f>
        <v/>
      </c>
      <c r="H119" s="32" t="n"/>
      <c r="I119" s="33" t="n"/>
      <c r="J119" s="8" t="n"/>
      <c r="K119" s="10" t="n"/>
      <c r="L119" s="10" t="n"/>
      <c r="M119" s="8" t="n"/>
      <c r="N119" s="8" t="n"/>
      <c r="O119" s="10" t="n"/>
      <c r="P119" s="10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</row>
    <row r="120" ht="15" customHeight="1">
      <c r="A120" s="31" t="n">
        <v>40170</v>
      </c>
      <c r="B120" s="3" t="n">
        <v>101</v>
      </c>
      <c r="C120" s="9" t="n"/>
      <c r="E120" s="32" t="n"/>
      <c r="F120" s="32" t="n"/>
      <c r="G120" s="32">
        <f>$E$103+(B120-$B$103)*$F$103</f>
        <v/>
      </c>
      <c r="H120" s="32" t="n"/>
      <c r="I120" s="33" t="n"/>
      <c r="J120" s="8" t="n"/>
      <c r="K120" s="10" t="n"/>
      <c r="L120" s="10" t="n"/>
      <c r="M120" s="8" t="n"/>
      <c r="N120" s="8" t="n"/>
      <c r="O120" s="10" t="n"/>
      <c r="P120" s="10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</row>
    <row r="121" ht="15" customHeight="1">
      <c r="A121" s="31" t="n">
        <v>40171</v>
      </c>
      <c r="B121" s="3" t="n">
        <v>102</v>
      </c>
      <c r="C121" s="9" t="n"/>
      <c r="E121" s="32" t="n"/>
      <c r="F121" s="32" t="n"/>
      <c r="G121" s="32">
        <f>$E$103+(B121-$B$103)*$F$103</f>
        <v/>
      </c>
      <c r="H121" s="32" t="n"/>
      <c r="I121" s="33" t="n"/>
      <c r="J121" s="8" t="n"/>
      <c r="K121" s="10" t="n"/>
      <c r="L121" s="10" t="n"/>
      <c r="M121" s="8" t="n"/>
      <c r="N121" s="8" t="n"/>
      <c r="O121" s="10" t="n"/>
      <c r="P121" s="10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</row>
    <row r="122" ht="15" customHeight="1">
      <c r="A122" s="31" t="n">
        <v>40175</v>
      </c>
      <c r="B122" s="3" t="n">
        <v>103</v>
      </c>
      <c r="C122" s="9" t="n"/>
      <c r="E122" s="32" t="n"/>
      <c r="F122" s="32" t="n"/>
      <c r="G122" s="32">
        <f>$E$103+(B122-$B$103)*$F$103</f>
        <v/>
      </c>
      <c r="H122" s="32" t="n"/>
      <c r="I122" s="33" t="n"/>
      <c r="J122" s="8" t="n"/>
      <c r="K122" s="10" t="n"/>
      <c r="L122" s="10" t="n"/>
      <c r="M122" s="8" t="n"/>
      <c r="N122" s="8" t="n"/>
      <c r="O122" s="10" t="n"/>
      <c r="P122" s="10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</row>
    <row r="123" ht="15" customHeight="1">
      <c r="A123" s="31" t="n">
        <v>40176</v>
      </c>
      <c r="B123" s="3" t="n">
        <v>104</v>
      </c>
      <c r="C123" s="9" t="n"/>
      <c r="E123" s="32" t="n"/>
      <c r="F123" s="32" t="n"/>
      <c r="G123" s="32">
        <f>$E$103+(B123-$B$103)*$F$103</f>
        <v/>
      </c>
      <c r="H123" s="32" t="n"/>
      <c r="I123" s="33" t="n"/>
      <c r="J123" s="8" t="n"/>
      <c r="K123" s="10" t="n"/>
      <c r="L123" s="10" t="n"/>
      <c r="M123" s="8" t="n"/>
      <c r="N123" s="8" t="n"/>
      <c r="O123" s="10" t="n"/>
      <c r="P123" s="10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8" t="n"/>
      <c r="AS123" s="8" t="n"/>
      <c r="AT123" s="8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</row>
    <row r="124" ht="15" customHeight="1">
      <c r="A124" s="31" t="n">
        <v>40177</v>
      </c>
      <c r="B124" s="3" t="n">
        <v>105</v>
      </c>
      <c r="C124" s="9" t="n"/>
      <c r="E124" s="32" t="n"/>
      <c r="F124" s="32" t="n"/>
      <c r="G124" s="32">
        <f>$E$103+(B124-$B$103)*$F$103</f>
        <v/>
      </c>
      <c r="H124" s="32" t="n"/>
      <c r="I124" s="33" t="n"/>
      <c r="J124" s="8" t="n"/>
      <c r="K124" s="10" t="n"/>
      <c r="L124" s="10" t="n"/>
      <c r="M124" s="8" t="n"/>
      <c r="N124" s="8" t="n"/>
      <c r="O124" s="10" t="n"/>
      <c r="P124" s="10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8" t="n"/>
      <c r="AS124" s="8" t="n"/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</row>
    <row r="125"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8" t="n"/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</row>
    <row r="126">
      <c r="I126" s="8" t="n"/>
      <c r="J126" s="8" t="n"/>
      <c r="K126" s="8" t="n"/>
      <c r="L126" s="8" t="n"/>
      <c r="M126" s="8" t="n"/>
      <c r="N126" s="12" t="n"/>
      <c r="O126" s="13" t="n"/>
      <c r="P126" s="13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</row>
    <row r="127">
      <c r="A127" s="38" t="inlineStr">
        <is>
          <t>Modelo de Holt (suavização exponencial com tendência)</t>
        </is>
      </c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8" t="n"/>
      <c r="AS127" s="8" t="n"/>
      <c r="AT127" s="8" t="n"/>
      <c r="AU127" s="8" t="n"/>
      <c r="AV127" s="8" t="n"/>
      <c r="AW127" s="8" t="n"/>
      <c r="AX127" s="8" t="n"/>
      <c r="AY127" s="8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</row>
    <row r="128">
      <c r="A128" s="39" t="inlineStr">
        <is>
          <t>Nível:      L(t) = α·Y(t) + (1−α)·[L(t−1) + T(t−1)]</t>
        </is>
      </c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</row>
    <row r="129">
      <c r="A129" s="39" t="inlineStr">
        <is>
          <t>Tendência:  T(t) = β·[L(t) − L(t−1)] + (1−β)·T(t−1)</t>
        </is>
      </c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</row>
    <row r="130">
      <c r="A130" s="39" t="inlineStr">
        <is>
          <t>Previsão:   F(t+m) = L(t) + m·T(t)     → coluna G</t>
        </is>
      </c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</row>
    <row r="131"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</row>
    <row r="132">
      <c r="A132" s="40" t="inlineStr">
        <is>
          <t>Inicialização: L(1) = Y(1) = preço de 03-ago-2009 e T(1) = 0. Como não há previsão para t = 1, os erros são medidos de t = 2 a t = 84 (83 erros).</t>
        </is>
      </c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</row>
    <row r="133">
      <c r="A133" s="40" t="inlineStr">
        <is>
          <t>Coluna G: para t ≤ 84 traz a previsão de 1 passo à frente, L(t−1)+T(t−1), alinhada à data que ela prevê; de 01-dez a 30-dez traz L(84) + m·T(84), com m = 1..21 pregões.</t>
        </is>
      </c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</row>
    <row r="134">
      <c r="A134" s="40" t="inlineStr">
        <is>
          <t>Células amarelas F16 e F17 são as únicas entradas: alterá-las recalcula todo o modelo, os erros e o gráfico.</t>
        </is>
      </c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8" t="n"/>
      <c r="AU134" s="8" t="n"/>
      <c r="AV134" s="8" t="n"/>
      <c r="AW134" s="8" t="n"/>
      <c r="AX134" s="8" t="n"/>
      <c r="AY134" s="8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</row>
    <row r="135">
      <c r="A135" s="40" t="inlineStr">
        <is>
          <t>Otimização (item c): Solver → Definir objetivo L20 (MSE) → Mín. → Células variáveis F16:F17 → Restrições 0 ≤ α ≤ 1 e 0 ≤ β ≤ 1 → Método GRG Não Linear.</t>
        </is>
      </c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</row>
    <row r="136">
      <c r="A136" s="40" t="inlineStr">
        <is>
          <t>Fonte dos dados: série de preços de fechamento da GOOG fornecida no próprio enunciado do exercício.</t>
        </is>
      </c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</row>
    <row r="137"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8" t="n"/>
      <c r="AS137" s="8" t="n"/>
      <c r="AT137" s="8" t="n"/>
      <c r="AU137" s="8" t="n"/>
      <c r="AV137" s="8" t="n"/>
      <c r="AW137" s="8" t="n"/>
      <c r="AX137" s="8" t="n"/>
      <c r="AY137" s="8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</row>
    <row r="138"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</row>
    <row r="139"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</row>
    <row r="140"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</row>
    <row r="141"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8" t="n"/>
      <c r="AU141" s="8" t="n"/>
      <c r="AV141" s="8" t="n"/>
      <c r="AW141" s="8" t="n"/>
      <c r="AX141" s="8" t="n"/>
      <c r="AY141" s="8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</row>
    <row r="142"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8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</row>
    <row r="143"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</row>
    <row r="144"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</row>
    <row r="145"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</row>
    <row r="146"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8" t="n"/>
      <c r="AS146" s="8" t="n"/>
      <c r="AT146" s="8" t="n"/>
      <c r="AU146" s="8" t="n"/>
      <c r="AV146" s="8" t="n"/>
      <c r="AW146" s="8" t="n"/>
      <c r="AX146" s="8" t="n"/>
      <c r="AY146" s="8" t="n"/>
      <c r="AZ146" s="8" t="n"/>
      <c r="BA146" s="8" t="n"/>
      <c r="BB146" s="8" t="n"/>
      <c r="BC146" s="8" t="n"/>
      <c r="BD146" s="8" t="n"/>
      <c r="BE146" s="8" t="n"/>
      <c r="BF146" s="8" t="n"/>
      <c r="BG146" s="8" t="n"/>
      <c r="BH146" s="8" t="n"/>
      <c r="BI146" s="8" t="n"/>
      <c r="BJ146" s="8" t="n"/>
      <c r="BK146" s="8" t="n"/>
      <c r="BL146" s="8" t="n"/>
      <c r="BM146" s="8" t="n"/>
      <c r="BN146" s="8" t="n"/>
      <c r="BO146" s="8" t="n"/>
      <c r="BP146" s="8" t="n"/>
      <c r="BQ146" s="8" t="n"/>
      <c r="BR146" s="8" t="n"/>
    </row>
    <row r="147"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8" t="n"/>
      <c r="AS147" s="8" t="n"/>
      <c r="AT147" s="8" t="n"/>
      <c r="AU147" s="8" t="n"/>
      <c r="AV147" s="8" t="n"/>
      <c r="AW147" s="8" t="n"/>
      <c r="AX147" s="8" t="n"/>
      <c r="AY147" s="8" t="n"/>
      <c r="AZ147" s="8" t="n"/>
      <c r="BA147" s="8" t="n"/>
      <c r="BB147" s="8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</row>
    <row r="148"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8" t="n"/>
      <c r="AS148" s="8" t="n"/>
      <c r="AT148" s="8" t="n"/>
      <c r="AU148" s="8" t="n"/>
      <c r="AV148" s="8" t="n"/>
      <c r="AW148" s="8" t="n"/>
      <c r="AX148" s="8" t="n"/>
      <c r="AY148" s="8" t="n"/>
      <c r="AZ148" s="8" t="n"/>
      <c r="BA148" s="8" t="n"/>
      <c r="BB148" s="8" t="n"/>
      <c r="BC148" s="8" t="n"/>
      <c r="BD148" s="8" t="n"/>
      <c r="BE148" s="8" t="n"/>
      <c r="BF148" s="8" t="n"/>
      <c r="BG148" s="8" t="n"/>
      <c r="BH148" s="8" t="n"/>
      <c r="BI148" s="8" t="n"/>
      <c r="BJ148" s="8" t="n"/>
      <c r="BK148" s="8" t="n"/>
      <c r="BL148" s="8" t="n"/>
      <c r="BM148" s="8" t="n"/>
      <c r="BN148" s="8" t="n"/>
      <c r="BO148" s="8" t="n"/>
      <c r="BP148" s="8" t="n"/>
      <c r="BQ148" s="8" t="n"/>
      <c r="BR148" s="8" t="n"/>
    </row>
    <row r="149"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8" t="n"/>
      <c r="AS149" s="8" t="n"/>
      <c r="AT149" s="8" t="n"/>
      <c r="AU149" s="8" t="n"/>
      <c r="AV149" s="8" t="n"/>
      <c r="AW149" s="8" t="n"/>
      <c r="AX149" s="8" t="n"/>
      <c r="AY149" s="8" t="n"/>
      <c r="AZ149" s="8" t="n"/>
      <c r="BA149" s="8" t="n"/>
      <c r="BB149" s="8" t="n"/>
      <c r="BC149" s="8" t="n"/>
      <c r="BD149" s="8" t="n"/>
      <c r="BE149" s="8" t="n"/>
      <c r="BF149" s="8" t="n"/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  <c r="BR149" s="8" t="n"/>
    </row>
    <row r="150"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8" t="n"/>
      <c r="AS150" s="8" t="n"/>
      <c r="AT150" s="8" t="n"/>
      <c r="AU150" s="8" t="n"/>
      <c r="AV150" s="8" t="n"/>
      <c r="AW150" s="8" t="n"/>
      <c r="AX150" s="8" t="n"/>
      <c r="AY150" s="8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/>
      <c r="BI150" s="8" t="n"/>
      <c r="BJ150" s="8" t="n"/>
      <c r="BK150" s="8" t="n"/>
      <c r="BL150" s="8" t="n"/>
      <c r="BM150" s="8" t="n"/>
      <c r="BN150" s="8" t="n"/>
      <c r="BO150" s="8" t="n"/>
      <c r="BP150" s="8" t="n"/>
      <c r="BQ150" s="8" t="n"/>
      <c r="BR150" s="8" t="n"/>
    </row>
    <row r="151"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8" t="n"/>
      <c r="AS151" s="8" t="n"/>
      <c r="AT151" s="8" t="n"/>
      <c r="AU151" s="8" t="n"/>
      <c r="AV151" s="8" t="n"/>
      <c r="AW151" s="8" t="n"/>
      <c r="AX151" s="8" t="n"/>
      <c r="AY151" s="8" t="n"/>
      <c r="AZ151" s="8" t="n"/>
      <c r="BA151" s="8" t="n"/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/>
      <c r="BL151" s="8" t="n"/>
      <c r="BM151" s="8" t="n"/>
      <c r="BN151" s="8" t="n"/>
      <c r="BO151" s="8" t="n"/>
      <c r="BP151" s="8" t="n"/>
      <c r="BQ151" s="8" t="n"/>
      <c r="BR151" s="8" t="n"/>
    </row>
    <row r="152"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8" t="n"/>
      <c r="AS152" s="8" t="n"/>
      <c r="AT152" s="8" t="n"/>
      <c r="AU152" s="8" t="n"/>
      <c r="AV152" s="8" t="n"/>
      <c r="AW152" s="8" t="n"/>
      <c r="AX152" s="8" t="n"/>
      <c r="AY152" s="8" t="n"/>
      <c r="AZ152" s="8" t="n"/>
      <c r="BA152" s="8" t="n"/>
      <c r="BB152" s="8" t="n"/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/>
      <c r="BL152" s="8" t="n"/>
      <c r="BM152" s="8" t="n"/>
      <c r="BN152" s="8" t="n"/>
      <c r="BO152" s="8" t="n"/>
      <c r="BP152" s="8" t="n"/>
      <c r="BQ152" s="8" t="n"/>
      <c r="BR152" s="8" t="n"/>
    </row>
    <row r="153"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8" t="n"/>
      <c r="AS153" s="8" t="n"/>
      <c r="AT153" s="8" t="n"/>
      <c r="AU153" s="8" t="n"/>
      <c r="AV153" s="8" t="n"/>
      <c r="AW153" s="8" t="n"/>
      <c r="AX153" s="8" t="n"/>
      <c r="AY153" s="8" t="n"/>
      <c r="AZ153" s="8" t="n"/>
      <c r="BA153" s="8" t="n"/>
      <c r="BB153" s="8" t="n"/>
      <c r="BC153" s="8" t="n"/>
      <c r="BD153" s="8" t="n"/>
      <c r="BE153" s="8" t="n"/>
      <c r="BF153" s="8" t="n"/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  <c r="BR153" s="8" t="n"/>
    </row>
    <row r="154"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8" t="n"/>
      <c r="AS154" s="8" t="n"/>
      <c r="AT154" s="8" t="n"/>
      <c r="AU154" s="8" t="n"/>
      <c r="AV154" s="8" t="n"/>
      <c r="AW154" s="8" t="n"/>
      <c r="AX154" s="8" t="n"/>
      <c r="AY154" s="8" t="n"/>
      <c r="AZ154" s="8" t="n"/>
      <c r="BA154" s="8" t="n"/>
      <c r="BB154" s="8" t="n"/>
      <c r="BC154" s="8" t="n"/>
      <c r="BD154" s="8" t="n"/>
      <c r="BE154" s="8" t="n"/>
      <c r="BF154" s="8" t="n"/>
      <c r="BG154" s="8" t="n"/>
      <c r="BH154" s="8" t="n"/>
      <c r="BI154" s="8" t="n"/>
      <c r="BJ154" s="8" t="n"/>
      <c r="BK154" s="8" t="n"/>
      <c r="BL154" s="8" t="n"/>
      <c r="BM154" s="8" t="n"/>
      <c r="BN154" s="8" t="n"/>
      <c r="BO154" s="8" t="n"/>
      <c r="BP154" s="8" t="n"/>
      <c r="BQ154" s="8" t="n"/>
      <c r="BR154" s="8" t="n"/>
    </row>
    <row r="155"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8" t="n"/>
      <c r="AS155" s="8" t="n"/>
      <c r="AT155" s="8" t="n"/>
      <c r="AU155" s="8" t="n"/>
      <c r="AV155" s="8" t="n"/>
      <c r="AW155" s="8" t="n"/>
      <c r="AX155" s="8" t="n"/>
      <c r="AY155" s="8" t="n"/>
      <c r="AZ155" s="8" t="n"/>
      <c r="BA155" s="8" t="n"/>
      <c r="BB155" s="8" t="n"/>
      <c r="BC155" s="8" t="n"/>
      <c r="BD155" s="8" t="n"/>
      <c r="BE155" s="8" t="n"/>
      <c r="BF155" s="8" t="n"/>
      <c r="BG155" s="8" t="n"/>
      <c r="BH155" s="8" t="n"/>
      <c r="BI155" s="8" t="n"/>
      <c r="BJ155" s="8" t="n"/>
      <c r="BK155" s="8" t="n"/>
      <c r="BL155" s="8" t="n"/>
      <c r="BM155" s="8" t="n"/>
      <c r="BN155" s="8" t="n"/>
      <c r="BO155" s="8" t="n"/>
      <c r="BP155" s="8" t="n"/>
      <c r="BQ155" s="8" t="n"/>
      <c r="BR155" s="8" t="n"/>
    </row>
    <row r="156"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8" t="n"/>
      <c r="AS156" s="8" t="n"/>
      <c r="AT156" s="8" t="n"/>
      <c r="AU156" s="8" t="n"/>
      <c r="AV156" s="8" t="n"/>
      <c r="AW156" s="8" t="n"/>
      <c r="AX156" s="8" t="n"/>
      <c r="AY156" s="8" t="n"/>
      <c r="AZ156" s="8" t="n"/>
      <c r="BA156" s="8" t="n"/>
      <c r="BB156" s="8" t="n"/>
      <c r="BC156" s="8" t="n"/>
      <c r="BD156" s="8" t="n"/>
      <c r="BE156" s="8" t="n"/>
      <c r="BF156" s="8" t="n"/>
      <c r="BG156" s="8" t="n"/>
      <c r="BH156" s="8" t="n"/>
      <c r="BI156" s="8" t="n"/>
      <c r="BJ156" s="8" t="n"/>
      <c r="BK156" s="8" t="n"/>
      <c r="BL156" s="8" t="n"/>
      <c r="BM156" s="8" t="n"/>
      <c r="BN156" s="8" t="n"/>
      <c r="BO156" s="8" t="n"/>
      <c r="BP156" s="8" t="n"/>
      <c r="BQ156" s="8" t="n"/>
      <c r="BR156" s="8" t="n"/>
    </row>
    <row r="157"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8" t="n"/>
      <c r="AS157" s="8" t="n"/>
      <c r="AT157" s="8" t="n"/>
      <c r="AU157" s="8" t="n"/>
      <c r="AV157" s="8" t="n"/>
      <c r="AW157" s="8" t="n"/>
      <c r="AX157" s="8" t="n"/>
      <c r="AY157" s="8" t="n"/>
      <c r="AZ157" s="8" t="n"/>
      <c r="BA157" s="8" t="n"/>
      <c r="BB157" s="8" t="n"/>
      <c r="BC157" s="8" t="n"/>
      <c r="BD157" s="8" t="n"/>
      <c r="BE157" s="8" t="n"/>
      <c r="BF157" s="8" t="n"/>
      <c r="BG157" s="8" t="n"/>
      <c r="BH157" s="8" t="n"/>
      <c r="BI157" s="8" t="n"/>
      <c r="BJ157" s="8" t="n"/>
      <c r="BK157" s="8" t="n"/>
      <c r="BL157" s="8" t="n"/>
      <c r="BM157" s="8" t="n"/>
      <c r="BN157" s="8" t="n"/>
      <c r="BO157" s="8" t="n"/>
      <c r="BP157" s="8" t="n"/>
      <c r="BQ157" s="8" t="n"/>
      <c r="BR157" s="8" t="n"/>
    </row>
    <row r="158"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C158" s="8" t="n"/>
      <c r="BD158" s="8" t="n"/>
      <c r="BE158" s="8" t="n"/>
      <c r="BF158" s="8" t="n"/>
      <c r="BG158" s="8" t="n"/>
      <c r="BH158" s="8" t="n"/>
      <c r="BI158" s="8" t="n"/>
      <c r="BJ158" s="8" t="n"/>
      <c r="BK158" s="8" t="n"/>
      <c r="BL158" s="8" t="n"/>
      <c r="BM158" s="8" t="n"/>
      <c r="BN158" s="8" t="n"/>
      <c r="BO158" s="8" t="n"/>
      <c r="BP158" s="8" t="n"/>
      <c r="BQ158" s="8" t="n"/>
      <c r="BR158" s="8" t="n"/>
    </row>
    <row r="159"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8" t="n"/>
      <c r="AS159" s="8" t="n"/>
      <c r="AT159" s="8" t="n"/>
      <c r="AU159" s="8" t="n"/>
      <c r="AV159" s="8" t="n"/>
      <c r="AW159" s="8" t="n"/>
      <c r="AX159" s="8" t="n"/>
      <c r="AY159" s="8" t="n"/>
      <c r="AZ159" s="8" t="n"/>
      <c r="BA159" s="8" t="n"/>
      <c r="BB159" s="8" t="n"/>
      <c r="BC159" s="8" t="n"/>
      <c r="BD159" s="8" t="n"/>
      <c r="BE159" s="8" t="n"/>
      <c r="BF159" s="8" t="n"/>
      <c r="BG159" s="8" t="n"/>
      <c r="BH159" s="8" t="n"/>
      <c r="BI159" s="8" t="n"/>
      <c r="BJ159" s="8" t="n"/>
      <c r="BK159" s="8" t="n"/>
      <c r="BL159" s="8" t="n"/>
      <c r="BM159" s="8" t="n"/>
      <c r="BN159" s="8" t="n"/>
      <c r="BO159" s="8" t="n"/>
      <c r="BP159" s="8" t="n"/>
      <c r="BQ159" s="8" t="n"/>
      <c r="BR159" s="8" t="n"/>
    </row>
    <row r="160"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8" t="n"/>
      <c r="AS160" s="8" t="n"/>
      <c r="AT160" s="8" t="n"/>
      <c r="AU160" s="8" t="n"/>
      <c r="AV160" s="8" t="n"/>
      <c r="AW160" s="8" t="n"/>
      <c r="AX160" s="8" t="n"/>
      <c r="AY160" s="8" t="n"/>
      <c r="AZ160" s="8" t="n"/>
      <c r="BA160" s="8" t="n"/>
      <c r="BB160" s="8" t="n"/>
      <c r="BC160" s="8" t="n"/>
      <c r="BD160" s="8" t="n"/>
      <c r="BE160" s="8" t="n"/>
      <c r="BF160" s="8" t="n"/>
      <c r="BG160" s="8" t="n"/>
      <c r="BH160" s="8" t="n"/>
      <c r="BI160" s="8" t="n"/>
      <c r="BJ160" s="8" t="n"/>
      <c r="BK160" s="8" t="n"/>
      <c r="BL160" s="8" t="n"/>
      <c r="BM160" s="8" t="n"/>
      <c r="BN160" s="8" t="n"/>
      <c r="BO160" s="8" t="n"/>
      <c r="BP160" s="8" t="n"/>
      <c r="BQ160" s="8" t="n"/>
      <c r="BR160" s="8" t="n"/>
    </row>
    <row r="161"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8" t="n"/>
      <c r="AS161" s="8" t="n"/>
      <c r="AT161" s="8" t="n"/>
      <c r="AU161" s="8" t="n"/>
      <c r="AV161" s="8" t="n"/>
      <c r="AW161" s="8" t="n"/>
      <c r="AX161" s="8" t="n"/>
      <c r="AY161" s="8" t="n"/>
      <c r="AZ161" s="8" t="n"/>
      <c r="BA161" s="8" t="n"/>
      <c r="BB161" s="8" t="n"/>
      <c r="BC161" s="8" t="n"/>
      <c r="BD161" s="8" t="n"/>
      <c r="BE161" s="8" t="n"/>
      <c r="BF161" s="8" t="n"/>
      <c r="BG161" s="8" t="n"/>
      <c r="BH161" s="8" t="n"/>
      <c r="BI161" s="8" t="n"/>
      <c r="BJ161" s="8" t="n"/>
      <c r="BK161" s="8" t="n"/>
      <c r="BL161" s="8" t="n"/>
      <c r="BM161" s="8" t="n"/>
      <c r="BN161" s="8" t="n"/>
      <c r="BO161" s="8" t="n"/>
      <c r="BP161" s="8" t="n"/>
      <c r="BQ161" s="8" t="n"/>
      <c r="BR161" s="8" t="n"/>
    </row>
    <row r="162"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8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C162" s="8" t="n"/>
      <c r="BD162" s="8" t="n"/>
      <c r="BE162" s="8" t="n"/>
      <c r="BF162" s="8" t="n"/>
      <c r="BG162" s="8" t="n"/>
      <c r="BH162" s="8" t="n"/>
      <c r="BI162" s="8" t="n"/>
      <c r="BJ162" s="8" t="n"/>
      <c r="BK162" s="8" t="n"/>
      <c r="BL162" s="8" t="n"/>
      <c r="BM162" s="8" t="n"/>
      <c r="BN162" s="8" t="n"/>
      <c r="BO162" s="8" t="n"/>
      <c r="BP162" s="8" t="n"/>
      <c r="BQ162" s="8" t="n"/>
      <c r="BR162" s="8" t="n"/>
    </row>
    <row r="163"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8" t="n"/>
      <c r="AS163" s="8" t="n"/>
      <c r="AT163" s="8" t="n"/>
      <c r="AU163" s="8" t="n"/>
      <c r="AV163" s="8" t="n"/>
      <c r="AW163" s="8" t="n"/>
      <c r="AX163" s="8" t="n"/>
      <c r="AY163" s="8" t="n"/>
      <c r="AZ163" s="8" t="n"/>
      <c r="BA163" s="8" t="n"/>
      <c r="BB163" s="8" t="n"/>
      <c r="BC163" s="8" t="n"/>
      <c r="BD163" s="8" t="n"/>
      <c r="BE163" s="8" t="n"/>
      <c r="BF163" s="8" t="n"/>
      <c r="BG163" s="8" t="n"/>
      <c r="BH163" s="8" t="n"/>
      <c r="BI163" s="8" t="n"/>
      <c r="BJ163" s="8" t="n"/>
      <c r="BK163" s="8" t="n"/>
      <c r="BL163" s="8" t="n"/>
      <c r="BM163" s="8" t="n"/>
      <c r="BN163" s="8" t="n"/>
      <c r="BO163" s="8" t="n"/>
      <c r="BP163" s="8" t="n"/>
      <c r="BQ163" s="8" t="n"/>
      <c r="BR163" s="8" t="n"/>
    </row>
    <row r="164"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8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C164" s="8" t="n"/>
      <c r="BD164" s="8" t="n"/>
      <c r="BE164" s="8" t="n"/>
      <c r="BF164" s="8" t="n"/>
      <c r="BG164" s="8" t="n"/>
      <c r="BH164" s="8" t="n"/>
      <c r="BI164" s="8" t="n"/>
      <c r="BJ164" s="8" t="n"/>
      <c r="BK164" s="8" t="n"/>
      <c r="BL164" s="8" t="n"/>
      <c r="BM164" s="8" t="n"/>
      <c r="BN164" s="8" t="n"/>
      <c r="BO164" s="8" t="n"/>
      <c r="BP164" s="8" t="n"/>
      <c r="BQ164" s="8" t="n"/>
      <c r="BR164" s="8" t="n"/>
    </row>
    <row r="165"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8" t="n"/>
      <c r="AS165" s="8" t="n"/>
      <c r="AT165" s="8" t="n"/>
      <c r="AU165" s="8" t="n"/>
      <c r="AV165" s="8" t="n"/>
      <c r="AW165" s="8" t="n"/>
      <c r="AX165" s="8" t="n"/>
      <c r="AY165" s="8" t="n"/>
      <c r="AZ165" s="8" t="n"/>
      <c r="BA165" s="8" t="n"/>
      <c r="BB165" s="8" t="n"/>
      <c r="BC165" s="8" t="n"/>
      <c r="BD165" s="8" t="n"/>
      <c r="BE165" s="8" t="n"/>
      <c r="BF165" s="8" t="n"/>
      <c r="BG165" s="8" t="n"/>
      <c r="BH165" s="8" t="n"/>
      <c r="BI165" s="8" t="n"/>
      <c r="BJ165" s="8" t="n"/>
      <c r="BK165" s="8" t="n"/>
      <c r="BL165" s="8" t="n"/>
      <c r="BM165" s="8" t="n"/>
      <c r="BN165" s="8" t="n"/>
      <c r="BO165" s="8" t="n"/>
      <c r="BP165" s="8" t="n"/>
      <c r="BQ165" s="8" t="n"/>
      <c r="BR165" s="8" t="n"/>
    </row>
    <row r="166"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8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C166" s="8" t="n"/>
      <c r="BD166" s="8" t="n"/>
      <c r="BE166" s="8" t="n"/>
      <c r="BF166" s="8" t="n"/>
      <c r="BG166" s="8" t="n"/>
      <c r="BH166" s="8" t="n"/>
      <c r="BI166" s="8" t="n"/>
      <c r="BJ166" s="8" t="n"/>
      <c r="BK166" s="8" t="n"/>
      <c r="BL166" s="8" t="n"/>
      <c r="BM166" s="8" t="n"/>
      <c r="BN166" s="8" t="n"/>
      <c r="BO166" s="8" t="n"/>
      <c r="BP166" s="8" t="n"/>
      <c r="BQ166" s="8" t="n"/>
      <c r="BR166" s="8" t="n"/>
    </row>
    <row r="167"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8" t="n"/>
      <c r="AS167" s="8" t="n"/>
      <c r="AT167" s="8" t="n"/>
      <c r="AU167" s="8" t="n"/>
      <c r="AV167" s="8" t="n"/>
      <c r="AW167" s="8" t="n"/>
      <c r="AX167" s="8" t="n"/>
      <c r="AY167" s="8" t="n"/>
      <c r="AZ167" s="8" t="n"/>
      <c r="BA167" s="8" t="n"/>
      <c r="BB167" s="8" t="n"/>
      <c r="BC167" s="8" t="n"/>
      <c r="BD167" s="8" t="n"/>
      <c r="BE167" s="8" t="n"/>
      <c r="BF167" s="8" t="n"/>
      <c r="BG167" s="8" t="n"/>
      <c r="BH167" s="8" t="n"/>
      <c r="BI167" s="8" t="n"/>
      <c r="BJ167" s="8" t="n"/>
      <c r="BK167" s="8" t="n"/>
      <c r="BL167" s="8" t="n"/>
      <c r="BM167" s="8" t="n"/>
      <c r="BN167" s="8" t="n"/>
      <c r="BO167" s="8" t="n"/>
      <c r="BP167" s="8" t="n"/>
      <c r="BQ167" s="8" t="n"/>
      <c r="BR167" s="8" t="n"/>
    </row>
    <row r="168"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8" t="n"/>
      <c r="AS168" s="8" t="n"/>
      <c r="AT168" s="8" t="n"/>
      <c r="AU168" s="8" t="n"/>
      <c r="AV168" s="8" t="n"/>
      <c r="AW168" s="8" t="n"/>
      <c r="AX168" s="8" t="n"/>
      <c r="AY168" s="8" t="n"/>
      <c r="AZ168" s="8" t="n"/>
      <c r="BA168" s="8" t="n"/>
      <c r="BB168" s="8" t="n"/>
      <c r="BC168" s="8" t="n"/>
      <c r="BD168" s="8" t="n"/>
      <c r="BE168" s="8" t="n"/>
      <c r="BF168" s="8" t="n"/>
      <c r="BG168" s="8" t="n"/>
      <c r="BH168" s="8" t="n"/>
      <c r="BI168" s="8" t="n"/>
      <c r="BJ168" s="8" t="n"/>
      <c r="BK168" s="8" t="n"/>
      <c r="BL168" s="8" t="n"/>
      <c r="BM168" s="8" t="n"/>
      <c r="BN168" s="8" t="n"/>
      <c r="BO168" s="8" t="n"/>
      <c r="BP168" s="8" t="n"/>
      <c r="BQ168" s="8" t="n"/>
      <c r="BR168" s="8" t="n"/>
    </row>
  </sheetData>
  <mergeCells count="1">
    <mergeCell ref="J17:N17"/>
  </mergeCells>
  <pageMargins left="0.75" right="0.75" top="1" bottom="1" header="0.492125985" footer="0.49212598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5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</cols>
  <sheetData>
    <row r="2">
      <c r="B2" s="44" t="inlineStr">
        <is>
          <t>Exercício 3 — Método de Holt</t>
        </is>
      </c>
    </row>
    <row r="3" ht="30" customHeight="1">
      <c r="B3" s="45" t="inlineStr">
        <is>
          <t>Preço de fechamento das ações da Google Inc. (GOOG) na Nasdaq, de 03-ago-2009 a 30-nov-2009 (84 pregões). Objetivo: prever os 21 pregões de dezembro de 2009.</t>
        </is>
      </c>
    </row>
    <row r="5">
      <c r="B5" s="46" t="inlineStr">
        <is>
          <t>(a) Previsão pelo método de Holt e escolha inicial de α e β</t>
        </is>
      </c>
    </row>
    <row r="6" ht="30" customHeight="1">
      <c r="B6" s="45" t="inlineStr">
        <is>
          <t>Nível: L(t) = α·Y(t) + (1−α)·[L(t−1)+T(t−1)]     Tendência: T(t) = β·[L(t)−L(t−1)] + (1−β)·T(t−1)     Previsão: F(t+m) = L(t) + m·T(t)</t>
        </is>
      </c>
    </row>
    <row r="7" ht="30" customHeight="1">
      <c r="B7" s="45" t="inlineStr">
        <is>
          <t>Inicialização: L(1) = Y(1) = 452,21 (preço de 03-ago-2009) e T(1) = 0. Não há previsão para t = 1, de modo que os erros são medidos de t = 2 a t = 84 — 83 erros.</t>
        </is>
      </c>
    </row>
    <row r="8">
      <c r="C8" s="29" t="inlineStr">
        <is>
          <t>α</t>
        </is>
      </c>
      <c r="D8" s="29" t="inlineStr">
        <is>
          <t>β</t>
        </is>
      </c>
    </row>
    <row r="9">
      <c r="B9" s="47" t="inlineStr">
        <is>
          <t>Valores iniciais adotados:</t>
        </is>
      </c>
      <c r="C9" s="48">
        <f>Holt_inicial!$F$16</f>
        <v/>
      </c>
      <c r="D9" s="48">
        <f>Holt_inicial!$F$17</f>
        <v/>
      </c>
    </row>
    <row r="11" ht="90" customHeight="1">
      <c r="B11" s="45" t="inlineStr">
        <is>
          <t>Justificativa (contexto do problema): preço diário de ação é uma série muito ruidosa, que incorpora rapidamente cada nova informação e se comporta quase como um passeio aleatório. Por isso adotou-se α alto (0,8): o nível deve acompanhar de perto o último preço observado, e não uma média longa do passado. Já a tendência de uma ação é fraca e instável — o que sobe hoje pode cair amanhã —, então adotou-se β baixo (0,1), para que oscilações diárias não sejam interpretadas como mudança de tendência e amplificadas na previsão.</t>
        </is>
      </c>
    </row>
    <row r="12" ht="30" customHeight="1">
      <c r="B12" s="45" t="inlineStr">
        <is>
          <t>A previsão para dezembro/2009 está na coluna G da aba "Holt" (linhas 104 a 124): F(84+m) = L(84) + m·T(84), com m = 1 a 21 pregões. O gráfico da aba "Gráfico" mostra a série observada e a previsão.</t>
        </is>
      </c>
    </row>
    <row r="14">
      <c r="B14" s="46" t="inlineStr">
        <is>
          <t>(b) Indicadores de erro</t>
        </is>
      </c>
    </row>
    <row r="15" ht="30" customHeight="1">
      <c r="B15" s="45" t="inlineStr">
        <is>
          <t>Erro de previsão: e(t) = Y(t) − F(t), sempre de 1 passo à frente, sobre os 83 pregões previstos dentro da amostra.</t>
        </is>
      </c>
    </row>
    <row r="17">
      <c r="B17" s="49" t="inlineStr">
        <is>
          <t>Conjunto de parâmetros</t>
        </is>
      </c>
      <c r="C17" s="49" t="inlineStr">
        <is>
          <t>α</t>
        </is>
      </c>
      <c r="D17" s="49" t="inlineStr">
        <is>
          <t>β</t>
        </is>
      </c>
      <c r="E17" s="49" t="inlineStr">
        <is>
          <t>MAD</t>
        </is>
      </c>
      <c r="F17" s="49" t="inlineStr">
        <is>
          <t>MAPE</t>
        </is>
      </c>
      <c r="G17" s="49" t="inlineStr">
        <is>
          <t>MSE</t>
        </is>
      </c>
      <c r="H17" s="49" t="inlineStr">
        <is>
          <t>RMSE</t>
        </is>
      </c>
      <c r="I17" s="49" t="inlineStr">
        <is>
          <t>MPE</t>
        </is>
      </c>
    </row>
    <row r="18">
      <c r="B18" s="50" t="inlineStr">
        <is>
          <t>(a) Valores iniciais</t>
        </is>
      </c>
      <c r="C18" s="51">
        <f>'Holt_inicial'!$F$16</f>
        <v/>
      </c>
      <c r="D18" s="51">
        <f>'Holt_inicial'!$F$17</f>
        <v/>
      </c>
      <c r="E18" s="51">
        <f>'Holt_inicial'!$J$20</f>
        <v/>
      </c>
      <c r="F18" s="52">
        <f>'Holt_inicial'!$K$20</f>
        <v/>
      </c>
      <c r="G18" s="51">
        <f>'Holt_inicial'!$L$20</f>
        <v/>
      </c>
      <c r="H18" s="51">
        <f>'Holt_inicial'!$M$20</f>
        <v/>
      </c>
      <c r="I18" s="52">
        <f>'Holt_inicial'!$N$20</f>
        <v/>
      </c>
    </row>
    <row r="19">
      <c r="B19" s="50" t="inlineStr">
        <is>
          <t>(c) Valores otimizados</t>
        </is>
      </c>
      <c r="C19" s="51">
        <f>'Holt'!$F$16</f>
        <v/>
      </c>
      <c r="D19" s="51">
        <f>'Holt'!$F$17</f>
        <v/>
      </c>
      <c r="E19" s="51">
        <f>'Holt'!$J$20</f>
        <v/>
      </c>
      <c r="F19" s="52">
        <f>'Holt'!$K$20</f>
        <v/>
      </c>
      <c r="G19" s="51">
        <f>'Holt'!$L$20</f>
        <v/>
      </c>
      <c r="H19" s="51">
        <f>'Holt'!$M$20</f>
        <v/>
      </c>
      <c r="I19" s="52">
        <f>'Holt'!$N$20</f>
        <v/>
      </c>
    </row>
    <row r="20">
      <c r="B20" s="50" t="inlineStr">
        <is>
          <t>Redução do erro (a) → (c)</t>
        </is>
      </c>
      <c r="C20" s="53" t="n"/>
      <c r="D20" s="53" t="n"/>
      <c r="E20" s="54">
        <f>1-E19/E18</f>
        <v/>
      </c>
      <c r="F20" s="54">
        <f>1-F19/F18</f>
        <v/>
      </c>
      <c r="G20" s="54">
        <f>1-G19/G18</f>
        <v/>
      </c>
      <c r="H20" s="54">
        <f>1-H19/H18</f>
        <v/>
      </c>
      <c r="I20" s="53" t="n"/>
    </row>
    <row r="22" ht="45" customHeight="1">
      <c r="B22" s="45" t="inlineStr">
        <is>
          <t>MAD = média de |e(t)|, em US$.   MAPE = média de |e(t)/Y(t)|, em %.   MSE = média de e(t)², que pune mais os erros grandes.   RMSE = √MSE, de volta à escala de US$.   MPE = média de e(t)/Y(t): mede viés — próximo de zero indica que o modelo não erra sistematicamente para cima nem para baixo.</t>
        </is>
      </c>
    </row>
    <row r="23" ht="30" customHeight="1">
      <c r="B23" s="45" t="inlineStr">
        <is>
          <t>Com os valores iniciais o modelo já erra pouco: o MAPE fica abaixo de 1%, ou seja, o erro típico de um dia para o outro é da ordem de 1% do preço da ação. O MPE praticamente nulo confirma a ausência de viés.</t>
        </is>
      </c>
    </row>
    <row r="25">
      <c r="B25" s="46" t="inlineStr">
        <is>
          <t>(c) Otimização de α e β</t>
        </is>
      </c>
    </row>
    <row r="26" ht="45" customHeight="1">
      <c r="B26" s="45" t="inlineStr">
        <is>
          <t>Critério: minimizar o MSE (célula L20 da aba "Holt") — é o indicador que penaliza mais os erros grandes e o usual em Solver. Solver: Definir Objetivo = L20; Para = Mín.; Células Variáveis = F16:F17; Restrições: F16 ≤ 1, F16 ≥ 0, F17 ≤ 1, F17 ≥ 0; Método = GRG Não Linear.</t>
        </is>
      </c>
    </row>
    <row r="28">
      <c r="B28" s="47" t="inlineStr">
        <is>
          <t>α ótimo</t>
        </is>
      </c>
      <c r="C28" s="55">
        <f>Holt!$F$16</f>
        <v/>
      </c>
    </row>
    <row r="29">
      <c r="B29" s="47" t="inlineStr">
        <is>
          <t>β ótimo</t>
        </is>
      </c>
      <c r="C29" s="55">
        <f>Holt!$F$17</f>
        <v/>
      </c>
    </row>
    <row r="31" ht="60" customHeight="1">
      <c r="B31" s="45" t="inlineStr">
        <is>
          <t>Leitura do resultado: α converge para o limite superior (1,00). Isso significa que a melhor estimativa do nível é simplesmente o último preço de fechamento observado — nenhuma média dos preços anteriores melhora a previsão. É exatamente o comportamento de um passeio aleatório, coerente com a hipótese de mercado eficiente: toda a informação passada já está no preço de hoje.</t>
        </is>
      </c>
    </row>
    <row r="32" ht="60" customHeight="1">
      <c r="B32" s="45" t="inlineStr">
        <is>
          <t>β ótimo é muito baixo (≈ 0,02): a tendência é atualizada devagar, funcionando como um "drift" médio suave em vez de reagir à variação de cada pregão. Isso confirma a intuição usada no item (a) — α alto e β baixo —, só que em grau ainda mais extremo. O ganho da otimização, porém, é modesto (ver linha 20): a escolha inicial já era boa.</t>
        </is>
      </c>
    </row>
    <row r="34">
      <c r="B34" s="46" t="inlineStr">
        <is>
          <t>(d) Valorização esperada — compra no fim de novembro, venda no fim de dezembro</t>
        </is>
      </c>
    </row>
    <row r="36">
      <c r="B36" s="56" t="inlineStr">
        <is>
          <t>Preço de compra em 30-nov-2009 (Y(84))</t>
        </is>
      </c>
      <c r="C36" s="57">
        <f>Holt!$C$103</f>
        <v/>
      </c>
    </row>
    <row r="37">
      <c r="B37" s="56" t="inlineStr">
        <is>
          <t>Nível final L(84)</t>
        </is>
      </c>
      <c r="C37" s="57">
        <f>Holt!$E$103</f>
        <v/>
      </c>
    </row>
    <row r="38">
      <c r="B38" s="56" t="inlineStr">
        <is>
          <t>Tendência final T(84), em US$/pregão</t>
        </is>
      </c>
      <c r="C38" s="57">
        <f>Holt!$F$103</f>
        <v/>
      </c>
    </row>
    <row r="39">
      <c r="B39" s="56" t="inlineStr">
        <is>
          <t>Horizonte até 30-dez-2009, m (pregões)</t>
        </is>
      </c>
      <c r="C39" s="58">
        <f>Holt!$B$124-Holt!$B$103</f>
        <v/>
      </c>
    </row>
    <row r="40">
      <c r="B40" s="56" t="inlineStr">
        <is>
          <t>Previsão para 30-dez-2009 = L(84) + m·T(84)</t>
        </is>
      </c>
      <c r="C40" s="59">
        <f>Holt!$G$124</f>
        <v/>
      </c>
    </row>
    <row r="41">
      <c r="B41" s="56" t="inlineStr">
        <is>
          <t>Ganho esperado por ação (US$)</t>
        </is>
      </c>
      <c r="C41" s="57">
        <f>C40-C36</f>
        <v/>
      </c>
    </row>
    <row r="42">
      <c r="B42" s="56" t="inlineStr">
        <is>
          <t>Valorização esperada (%)</t>
        </is>
      </c>
      <c r="C42" s="60">
        <f>C40/C36-1</f>
        <v/>
      </c>
    </row>
    <row r="44" ht="60" customHeight="1">
      <c r="B44" s="45" t="inlineStr">
        <is>
          <t>Resposta: a melhor estimativa pontual é uma valorização de cerca de 5,3% no mês (de US$ 583,00 para aproximadamente US$ 613,82, um ganho de cerca de US$ 30,82 por ação). Ela vem inteiramente do termo de tendência: o nível previsto é o próprio preço de 30-nov e o modelo apenas projeta 21 vezes o drift de ≈ US$ 1,47 por pregão estimado ao fim da amostra.</t>
        </is>
      </c>
    </row>
    <row r="46">
      <c r="B46" s="47" t="inlineStr">
        <is>
          <t>Ressalva sobre a incerteza dessa estimativa</t>
        </is>
      </c>
    </row>
    <row r="47">
      <c r="B47" s="56" t="inlineStr">
        <is>
          <t>RMSE de 1 passo à frente (US$)</t>
        </is>
      </c>
      <c r="C47" s="57">
        <f>Holt!$M$20</f>
        <v/>
      </c>
    </row>
    <row r="48">
      <c r="B48" s="56" t="inlineStr">
        <is>
          <t>Incerteza aproximada em 21 pregões = RMSE·√m (US$)</t>
        </is>
      </c>
      <c r="C48" s="57">
        <f>C47*SQRT(C39)</f>
        <v/>
      </c>
    </row>
    <row r="49">
      <c r="B49" s="56" t="inlineStr">
        <is>
          <t>Faixa aproximada de ±1 desvio — limite inferior (US$)</t>
        </is>
      </c>
      <c r="C49" s="57">
        <f>C40-C48</f>
        <v/>
      </c>
    </row>
    <row r="50">
      <c r="B50" s="56" t="inlineStr">
        <is>
          <t>Faixa aproximada de ±1 desvio — limite superior (US$)</t>
        </is>
      </c>
      <c r="C50" s="57">
        <f>C40+C48</f>
        <v/>
      </c>
    </row>
    <row r="52" ht="60" customHeight="1">
      <c r="B52" s="45" t="inlineStr">
        <is>
          <t>Como α = 1 torna o modelo um passeio aleatório com drift, o erro acumulado cresce com a raiz do horizonte. Projetando o RMSE diário para 21 pregões, a incerteza fica da ordem de US$ 28 — quase do tamanho do ganho previsto de US$ 30,84. Ou seja: a estimativa pontual é de alta de ≈ 5,3%, mas a apenas um desvio-padrão o preço de 30-dez já cobriria uma faixa larga, e a dois desvios incluiria prejuízo.</t>
        </is>
      </c>
    </row>
    <row r="53" ht="75" customHeight="1">
      <c r="B53" s="45" t="inlineStr">
        <is>
          <t>Conclusão para o investidor: o método de Holt aponta valorização de cerca de 5% em dezembro, o que sustenta a decisão de comprar, mas o próprio ajuste do modelo (α = 1) mostra que a série se comporta como passeio aleatório — a tendência extrapolada é a única fonte do ganho previsto e não é estatisticamente distinguível do ruído nesse horizonte. A previsão deve ser usada como cenário central, não como garantia de retorno.</t>
        </is>
      </c>
    </row>
    <row r="55" ht="30" customHeight="1">
      <c r="B55" s="61" t="inlineStr">
        <is>
          <t>Observação: todos os números desta aba são fórmulas ligadas às abas "Holt" (α e β otimizados) e "Holt_inicial" (α e β do item a). Alterar F16/F17 em qualquer uma das abas atualiza automaticamente esta página.</t>
        </is>
      </c>
    </row>
  </sheetData>
  <mergeCells count="15">
    <mergeCell ref="B22:H22"/>
    <mergeCell ref="B32:H32"/>
    <mergeCell ref="B26:H26"/>
    <mergeCell ref="B52:H52"/>
    <mergeCell ref="B44:H44"/>
    <mergeCell ref="B53:H53"/>
    <mergeCell ref="B12:H12"/>
    <mergeCell ref="B55:H55"/>
    <mergeCell ref="B6:H6"/>
    <mergeCell ref="B15:H15"/>
    <mergeCell ref="B7:H7"/>
    <mergeCell ref="B11:H11"/>
    <mergeCell ref="B3:H3"/>
    <mergeCell ref="B31:H31"/>
    <mergeCell ref="B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6:N124"/>
  <sheetViews>
    <sheetView workbookViewId="0">
      <selection activeCell="A1" sqref="A1"/>
    </sheetView>
  </sheetViews>
  <sheetFormatPr baseColWidth="8" defaultRowHeight="15"/>
  <cols>
    <col width="10.5" customWidth="1" min="1" max="1"/>
    <col width="9.699999999999999" customWidth="1" min="2" max="2"/>
    <col width="16.7" customWidth="1" min="3" max="3"/>
    <col width="3.3" customWidth="1" min="4" max="4"/>
    <col width="11.3" customWidth="1" min="5" max="5"/>
    <col width="11.3" customWidth="1" min="6" max="6"/>
    <col width="15.5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6">
      <c r="E16" s="29" t="inlineStr">
        <is>
          <t>Alfa</t>
        </is>
      </c>
      <c r="F16" s="25" t="n">
        <v>0.8</v>
      </c>
      <c r="G16" s="40" t="inlineStr">
        <is>
          <t>← células de entrada (variáveis do Solver)</t>
        </is>
      </c>
    </row>
    <row r="17">
      <c r="E17" s="29" t="inlineStr">
        <is>
          <t>Beta</t>
        </is>
      </c>
      <c r="F17" s="25" t="n">
        <v>0.1</v>
      </c>
      <c r="J17" s="29" t="inlineStr">
        <is>
          <t>ERROS</t>
        </is>
      </c>
    </row>
    <row r="18">
      <c r="A18" s="41" t="inlineStr">
        <is>
          <t>Item (a) — mesmo modelo da aba "Holt" com os valores INICIAIS de α e β (antes da otimização).</t>
        </is>
      </c>
    </row>
    <row r="19">
      <c r="A19" s="29" t="inlineStr">
        <is>
          <t>Datas</t>
        </is>
      </c>
      <c r="B19" s="29" t="inlineStr">
        <is>
          <t>t</t>
        </is>
      </c>
      <c r="C19" s="29" t="inlineStr">
        <is>
          <t>Preço (US$)</t>
        </is>
      </c>
      <c r="G19" t="inlineStr">
        <is>
          <t>L+T (previsão)</t>
        </is>
      </c>
      <c r="H19" s="29" t="inlineStr">
        <is>
          <t>Erro (e)</t>
        </is>
      </c>
      <c r="I19" s="29" t="inlineStr">
        <is>
          <t>Erro % (PE)</t>
        </is>
      </c>
      <c r="J19" s="30" t="inlineStr">
        <is>
          <t>MAD</t>
        </is>
      </c>
      <c r="K19" s="30" t="inlineStr">
        <is>
          <t>MAPE</t>
        </is>
      </c>
      <c r="L19" s="30" t="inlineStr">
        <is>
          <t>MSE</t>
        </is>
      </c>
      <c r="M19" s="30" t="inlineStr">
        <is>
          <t>RMSE</t>
        </is>
      </c>
      <c r="N19" s="30" t="inlineStr">
        <is>
          <t>MPE</t>
        </is>
      </c>
    </row>
    <row r="20">
      <c r="A20" s="42" t="n">
        <v>40028</v>
      </c>
      <c r="B20" s="43" t="n">
        <v>1</v>
      </c>
      <c r="C20" s="32" t="n">
        <v>452.21</v>
      </c>
      <c r="E20" s="32">
        <f>C20</f>
        <v/>
      </c>
      <c r="F20" s="32" t="n">
        <v>0</v>
      </c>
      <c r="G20" s="32" t="n"/>
      <c r="H20" s="32" t="n"/>
      <c r="I20" s="33" t="n"/>
      <c r="J20" s="34">
        <f>SUMPRODUCT(ABS(H21:H103))/COUNT(H21:H103)</f>
        <v/>
      </c>
      <c r="K20" s="35">
        <f>SUMPRODUCT(ABS(I21:I103))/COUNT(I21:I103)</f>
        <v/>
      </c>
      <c r="L20" s="34">
        <f>SUMSQ(H21:H103)/COUNT(H21:H103)</f>
        <v/>
      </c>
      <c r="M20" s="34">
        <f>SQRT(L20)</f>
        <v/>
      </c>
      <c r="N20" s="35">
        <f>AVERAGE(I21:I103)</f>
        <v/>
      </c>
    </row>
    <row r="21">
      <c r="A21" s="42" t="n">
        <v>40029</v>
      </c>
      <c r="B21" s="43" t="n">
        <v>2</v>
      </c>
      <c r="C21" s="32" t="n">
        <v>453.73</v>
      </c>
      <c r="E21" s="32">
        <f>$F$16*C21+(1-$F$16)*(E20+F20)</f>
        <v/>
      </c>
      <c r="F21" s="32">
        <f>$F$17*(E21-E20)+(1-$F$17)*F20</f>
        <v/>
      </c>
      <c r="G21" s="32">
        <f>E20+F20</f>
        <v/>
      </c>
      <c r="H21" s="32">
        <f>C21-G21</f>
        <v/>
      </c>
      <c r="I21" s="33">
        <f>H21/C21</f>
        <v/>
      </c>
    </row>
    <row r="22">
      <c r="A22" s="42" t="n">
        <v>40030</v>
      </c>
      <c r="B22" s="43" t="n">
        <v>3</v>
      </c>
      <c r="C22" s="32" t="n">
        <v>451.14</v>
      </c>
      <c r="E22" s="32">
        <f>$F$16*C22+(1-$F$16)*(E21+F21)</f>
        <v/>
      </c>
      <c r="F22" s="32">
        <f>$F$17*(E22-E21)+(1-$F$17)*F21</f>
        <v/>
      </c>
      <c r="G22" s="32">
        <f>E21+F21</f>
        <v/>
      </c>
      <c r="H22" s="32">
        <f>C22-G22</f>
        <v/>
      </c>
      <c r="I22" s="33">
        <f>H22/C22</f>
        <v/>
      </c>
    </row>
    <row r="23">
      <c r="A23" s="42" t="n">
        <v>40031</v>
      </c>
      <c r="B23" s="43" t="n">
        <v>4</v>
      </c>
      <c r="C23" s="32" t="n">
        <v>450.36</v>
      </c>
      <c r="E23" s="32">
        <f>$F$16*C23+(1-$F$16)*(E22+F22)</f>
        <v/>
      </c>
      <c r="F23" s="32">
        <f>$F$17*(E23-E22)+(1-$F$17)*F22</f>
        <v/>
      </c>
      <c r="G23" s="32">
        <f>E22+F22</f>
        <v/>
      </c>
      <c r="H23" s="32">
        <f>C23-G23</f>
        <v/>
      </c>
      <c r="I23" s="33">
        <f>H23/C23</f>
        <v/>
      </c>
    </row>
    <row r="24">
      <c r="A24" s="42" t="n">
        <v>40032</v>
      </c>
      <c r="B24" s="43" t="n">
        <v>5</v>
      </c>
      <c r="C24" s="32" t="n">
        <v>457.1</v>
      </c>
      <c r="E24" s="32">
        <f>$F$16*C24+(1-$F$16)*(E23+F23)</f>
        <v/>
      </c>
      <c r="F24" s="32">
        <f>$F$17*(E24-E23)+(1-$F$17)*F23</f>
        <v/>
      </c>
      <c r="G24" s="32">
        <f>E23+F23</f>
        <v/>
      </c>
      <c r="H24" s="32">
        <f>C24-G24</f>
        <v/>
      </c>
      <c r="I24" s="33">
        <f>H24/C24</f>
        <v/>
      </c>
    </row>
    <row r="25">
      <c r="A25" s="42" t="n">
        <v>40035</v>
      </c>
      <c r="B25" s="43" t="n">
        <v>6</v>
      </c>
      <c r="C25" s="32" t="n">
        <v>456.61</v>
      </c>
      <c r="E25" s="32">
        <f>$F$16*C25+(1-$F$16)*(E24+F24)</f>
        <v/>
      </c>
      <c r="F25" s="32">
        <f>$F$17*(E25-E24)+(1-$F$17)*F24</f>
        <v/>
      </c>
      <c r="G25" s="32">
        <f>E24+F24</f>
        <v/>
      </c>
      <c r="H25" s="32">
        <f>C25-G25</f>
        <v/>
      </c>
      <c r="I25" s="33">
        <f>H25/C25</f>
        <v/>
      </c>
    </row>
    <row r="26">
      <c r="A26" s="42" t="n">
        <v>40036</v>
      </c>
      <c r="B26" s="43" t="n">
        <v>7</v>
      </c>
      <c r="C26" s="32" t="n">
        <v>453.94</v>
      </c>
      <c r="E26" s="32">
        <f>$F$16*C26+(1-$F$16)*(E25+F25)</f>
        <v/>
      </c>
      <c r="F26" s="32">
        <f>$F$17*(E26-E25)+(1-$F$17)*F25</f>
        <v/>
      </c>
      <c r="G26" s="32">
        <f>E25+F25</f>
        <v/>
      </c>
      <c r="H26" s="32">
        <f>C26-G26</f>
        <v/>
      </c>
      <c r="I26" s="33">
        <f>H26/C26</f>
        <v/>
      </c>
    </row>
    <row r="27">
      <c r="A27" s="42" t="n">
        <v>40037</v>
      </c>
      <c r="B27" s="43" t="n">
        <v>8</v>
      </c>
      <c r="C27" s="32" t="n">
        <v>458.58</v>
      </c>
      <c r="E27" s="32">
        <f>$F$16*C27+(1-$F$16)*(E26+F26)</f>
        <v/>
      </c>
      <c r="F27" s="32">
        <f>$F$17*(E27-E26)+(1-$F$17)*F26</f>
        <v/>
      </c>
      <c r="G27" s="32">
        <f>E26+F26</f>
        <v/>
      </c>
      <c r="H27" s="32">
        <f>C27-G27</f>
        <v/>
      </c>
      <c r="I27" s="33">
        <f>H27/C27</f>
        <v/>
      </c>
    </row>
    <row r="28">
      <c r="A28" s="42" t="n">
        <v>40038</v>
      </c>
      <c r="B28" s="43" t="n">
        <v>9</v>
      </c>
      <c r="C28" s="32" t="n">
        <v>462.28</v>
      </c>
      <c r="E28" s="32">
        <f>$F$16*C28+(1-$F$16)*(E27+F27)</f>
        <v/>
      </c>
      <c r="F28" s="32">
        <f>$F$17*(E28-E27)+(1-$F$17)*F27</f>
        <v/>
      </c>
      <c r="G28" s="32">
        <f>E27+F27</f>
        <v/>
      </c>
      <c r="H28" s="32">
        <f>C28-G28</f>
        <v/>
      </c>
      <c r="I28" s="33">
        <f>H28/C28</f>
        <v/>
      </c>
    </row>
    <row r="29">
      <c r="A29" s="42" t="n">
        <v>40039</v>
      </c>
      <c r="B29" s="43" t="n">
        <v>10</v>
      </c>
      <c r="C29" s="32" t="n">
        <v>460</v>
      </c>
      <c r="E29" s="32">
        <f>$F$16*C29+(1-$F$16)*(E28+F28)</f>
        <v/>
      </c>
      <c r="F29" s="32">
        <f>$F$17*(E29-E28)+(1-$F$17)*F28</f>
        <v/>
      </c>
      <c r="G29" s="32">
        <f>E28+F28</f>
        <v/>
      </c>
      <c r="H29" s="32">
        <f>C29-G29</f>
        <v/>
      </c>
      <c r="I29" s="33">
        <f>H29/C29</f>
        <v/>
      </c>
    </row>
    <row r="30">
      <c r="A30" s="42" t="n">
        <v>40042</v>
      </c>
      <c r="B30" s="43" t="n">
        <v>11</v>
      </c>
      <c r="C30" s="32" t="n">
        <v>444.89</v>
      </c>
      <c r="E30" s="32">
        <f>$F$16*C30+(1-$F$16)*(E29+F29)</f>
        <v/>
      </c>
      <c r="F30" s="32">
        <f>$F$17*(E30-E29)+(1-$F$17)*F29</f>
        <v/>
      </c>
      <c r="G30" s="32">
        <f>E29+F29</f>
        <v/>
      </c>
      <c r="H30" s="32">
        <f>C30-G30</f>
        <v/>
      </c>
      <c r="I30" s="33">
        <f>H30/C30</f>
        <v/>
      </c>
    </row>
    <row r="31">
      <c r="A31" s="42" t="n">
        <v>40043</v>
      </c>
      <c r="B31" s="43" t="n">
        <v>12</v>
      </c>
      <c r="C31" s="32" t="n">
        <v>445.28</v>
      </c>
      <c r="E31" s="32">
        <f>$F$16*C31+(1-$F$16)*(E30+F30)</f>
        <v/>
      </c>
      <c r="F31" s="32">
        <f>$F$17*(E31-E30)+(1-$F$17)*F30</f>
        <v/>
      </c>
      <c r="G31" s="32">
        <f>E30+F30</f>
        <v/>
      </c>
      <c r="H31" s="32">
        <f>C31-G31</f>
        <v/>
      </c>
      <c r="I31" s="33">
        <f>H31/C31</f>
        <v/>
      </c>
    </row>
    <row r="32">
      <c r="A32" s="42" t="n">
        <v>40044</v>
      </c>
      <c r="B32" s="43" t="n">
        <v>13</v>
      </c>
      <c r="C32" s="32" t="n">
        <v>443.97</v>
      </c>
      <c r="E32" s="32">
        <f>$F$16*C32+(1-$F$16)*(E31+F31)</f>
        <v/>
      </c>
      <c r="F32" s="32">
        <f>$F$17*(E32-E31)+(1-$F$17)*F31</f>
        <v/>
      </c>
      <c r="G32" s="32">
        <f>E31+F31</f>
        <v/>
      </c>
      <c r="H32" s="32">
        <f>C32-G32</f>
        <v/>
      </c>
      <c r="I32" s="33">
        <f>H32/C32</f>
        <v/>
      </c>
    </row>
    <row r="33">
      <c r="A33" s="42" t="n">
        <v>40045</v>
      </c>
      <c r="B33" s="43" t="n">
        <v>14</v>
      </c>
      <c r="C33" s="32" t="n">
        <v>460.41</v>
      </c>
      <c r="E33" s="32">
        <f>$F$16*C33+(1-$F$16)*(E32+F32)</f>
        <v/>
      </c>
      <c r="F33" s="32">
        <f>$F$17*(E33-E32)+(1-$F$17)*F32</f>
        <v/>
      </c>
      <c r="G33" s="32">
        <f>E32+F32</f>
        <v/>
      </c>
      <c r="H33" s="32">
        <f>C33-G33</f>
        <v/>
      </c>
      <c r="I33" s="33">
        <f>H33/C33</f>
        <v/>
      </c>
    </row>
    <row r="34">
      <c r="A34" s="42" t="n">
        <v>40046</v>
      </c>
      <c r="B34" s="43" t="n">
        <v>15</v>
      </c>
      <c r="C34" s="32" t="n">
        <v>465.24</v>
      </c>
      <c r="E34" s="32">
        <f>$F$16*C34+(1-$F$16)*(E33+F33)</f>
        <v/>
      </c>
      <c r="F34" s="32">
        <f>$F$17*(E34-E33)+(1-$F$17)*F33</f>
        <v/>
      </c>
      <c r="G34" s="32">
        <f>E33+F33</f>
        <v/>
      </c>
      <c r="H34" s="32">
        <f>C34-G34</f>
        <v/>
      </c>
      <c r="I34" s="33">
        <f>H34/C34</f>
        <v/>
      </c>
    </row>
    <row r="35">
      <c r="A35" s="42" t="n">
        <v>40049</v>
      </c>
      <c r="B35" s="43" t="n">
        <v>16</v>
      </c>
      <c r="C35" s="32" t="n">
        <v>468.73</v>
      </c>
      <c r="E35" s="32">
        <f>$F$16*C35+(1-$F$16)*(E34+F34)</f>
        <v/>
      </c>
      <c r="F35" s="32">
        <f>$F$17*(E35-E34)+(1-$F$17)*F34</f>
        <v/>
      </c>
      <c r="G35" s="32">
        <f>E34+F34</f>
        <v/>
      </c>
      <c r="H35" s="32">
        <f>C35-G35</f>
        <v/>
      </c>
      <c r="I35" s="33">
        <f>H35/C35</f>
        <v/>
      </c>
    </row>
    <row r="36">
      <c r="A36" s="42" t="n">
        <v>40050</v>
      </c>
      <c r="B36" s="43" t="n">
        <v>17</v>
      </c>
      <c r="C36" s="32" t="n">
        <v>471.37</v>
      </c>
      <c r="E36" s="32">
        <f>$F$16*C36+(1-$F$16)*(E35+F35)</f>
        <v/>
      </c>
      <c r="F36" s="32">
        <f>$F$17*(E36-E35)+(1-$F$17)*F35</f>
        <v/>
      </c>
      <c r="G36" s="32">
        <f>E35+F35</f>
        <v/>
      </c>
      <c r="H36" s="32">
        <f>C36-G36</f>
        <v/>
      </c>
      <c r="I36" s="33">
        <f>H36/C36</f>
        <v/>
      </c>
    </row>
    <row r="37">
      <c r="A37" s="42" t="n">
        <v>40051</v>
      </c>
      <c r="B37" s="43" t="n">
        <v>18</v>
      </c>
      <c r="C37" s="32" t="n">
        <v>468</v>
      </c>
      <c r="E37" s="32">
        <f>$F$16*C37+(1-$F$16)*(E36+F36)</f>
        <v/>
      </c>
      <c r="F37" s="32">
        <f>$F$17*(E37-E36)+(1-$F$17)*F36</f>
        <v/>
      </c>
      <c r="G37" s="32">
        <f>E36+F36</f>
        <v/>
      </c>
      <c r="H37" s="32">
        <f>C37-G37</f>
        <v/>
      </c>
      <c r="I37" s="33">
        <f>H37/C37</f>
        <v/>
      </c>
    </row>
    <row r="38">
      <c r="A38" s="42" t="n">
        <v>40052</v>
      </c>
      <c r="B38" s="43" t="n">
        <v>19</v>
      </c>
      <c r="C38" s="32" t="n">
        <v>466.06</v>
      </c>
      <c r="E38" s="32">
        <f>$F$16*C38+(1-$F$16)*(E37+F37)</f>
        <v/>
      </c>
      <c r="F38" s="32">
        <f>$F$17*(E38-E37)+(1-$F$17)*F37</f>
        <v/>
      </c>
      <c r="G38" s="32">
        <f>E37+F37</f>
        <v/>
      </c>
      <c r="H38" s="32">
        <f>C38-G38</f>
        <v/>
      </c>
      <c r="I38" s="33">
        <f>H38/C38</f>
        <v/>
      </c>
    </row>
    <row r="39">
      <c r="A39" s="42" t="n">
        <v>40053</v>
      </c>
      <c r="B39" s="43" t="n">
        <v>20</v>
      </c>
      <c r="C39" s="32" t="n">
        <v>464.75</v>
      </c>
      <c r="E39" s="32">
        <f>$F$16*C39+(1-$F$16)*(E38+F38)</f>
        <v/>
      </c>
      <c r="F39" s="32">
        <f>$F$17*(E39-E38)+(1-$F$17)*F38</f>
        <v/>
      </c>
      <c r="G39" s="32">
        <f>E38+F38</f>
        <v/>
      </c>
      <c r="H39" s="32">
        <f>C39-G39</f>
        <v/>
      </c>
      <c r="I39" s="33">
        <f>H39/C39</f>
        <v/>
      </c>
    </row>
    <row r="40">
      <c r="A40" s="42" t="n">
        <v>40056</v>
      </c>
      <c r="B40" s="43" t="n">
        <v>21</v>
      </c>
      <c r="C40" s="32" t="n">
        <v>461.67</v>
      </c>
      <c r="E40" s="32">
        <f>$F$16*C40+(1-$F$16)*(E39+F39)</f>
        <v/>
      </c>
      <c r="F40" s="32">
        <f>$F$17*(E40-E39)+(1-$F$17)*F39</f>
        <v/>
      </c>
      <c r="G40" s="32">
        <f>E39+F39</f>
        <v/>
      </c>
      <c r="H40" s="32">
        <f>C40-G40</f>
        <v/>
      </c>
      <c r="I40" s="33">
        <f>H40/C40</f>
        <v/>
      </c>
    </row>
    <row r="41">
      <c r="A41" s="42" t="n">
        <v>40057</v>
      </c>
      <c r="B41" s="43" t="n">
        <v>22</v>
      </c>
      <c r="C41" s="32" t="n">
        <v>455.76</v>
      </c>
      <c r="E41" s="32">
        <f>$F$16*C41+(1-$F$16)*(E40+F40)</f>
        <v/>
      </c>
      <c r="F41" s="32">
        <f>$F$17*(E41-E40)+(1-$F$17)*F40</f>
        <v/>
      </c>
      <c r="G41" s="32">
        <f>E40+F40</f>
        <v/>
      </c>
      <c r="H41" s="32">
        <f>C41-G41</f>
        <v/>
      </c>
      <c r="I41" s="33">
        <f>H41/C41</f>
        <v/>
      </c>
    </row>
    <row r="42">
      <c r="A42" s="42" t="n">
        <v>40058</v>
      </c>
      <c r="B42" s="43" t="n">
        <v>23</v>
      </c>
      <c r="C42" s="32" t="n">
        <v>453.01</v>
      </c>
      <c r="E42" s="32">
        <f>$F$16*C42+(1-$F$16)*(E41+F41)</f>
        <v/>
      </c>
      <c r="F42" s="32">
        <f>$F$17*(E42-E41)+(1-$F$17)*F41</f>
        <v/>
      </c>
      <c r="G42" s="32">
        <f>E41+F41</f>
        <v/>
      </c>
      <c r="H42" s="32">
        <f>C42-G42</f>
        <v/>
      </c>
      <c r="I42" s="33">
        <f>H42/C42</f>
        <v/>
      </c>
    </row>
    <row r="43">
      <c r="A43" s="42" t="n">
        <v>40059</v>
      </c>
      <c r="B43" s="43" t="n">
        <v>24</v>
      </c>
      <c r="C43" s="32" t="n">
        <v>457.52</v>
      </c>
      <c r="E43" s="32">
        <f>$F$16*C43+(1-$F$16)*(E42+F42)</f>
        <v/>
      </c>
      <c r="F43" s="32">
        <f>$F$17*(E43-E42)+(1-$F$17)*F42</f>
        <v/>
      </c>
      <c r="G43" s="32">
        <f>E42+F42</f>
        <v/>
      </c>
      <c r="H43" s="32">
        <f>C43-G43</f>
        <v/>
      </c>
      <c r="I43" s="33">
        <f>H43/C43</f>
        <v/>
      </c>
    </row>
    <row r="44">
      <c r="A44" s="42" t="n">
        <v>40060</v>
      </c>
      <c r="B44" s="43" t="n">
        <v>25</v>
      </c>
      <c r="C44" s="32" t="n">
        <v>461.3</v>
      </c>
      <c r="E44" s="32">
        <f>$F$16*C44+(1-$F$16)*(E43+F43)</f>
        <v/>
      </c>
      <c r="F44" s="32">
        <f>$F$17*(E44-E43)+(1-$F$17)*F43</f>
        <v/>
      </c>
      <c r="G44" s="32">
        <f>E43+F43</f>
        <v/>
      </c>
      <c r="H44" s="32">
        <f>C44-G44</f>
        <v/>
      </c>
      <c r="I44" s="33">
        <f>H44/C44</f>
        <v/>
      </c>
    </row>
    <row r="45">
      <c r="A45" s="42" t="n">
        <v>40064</v>
      </c>
      <c r="B45" s="43" t="n">
        <v>26</v>
      </c>
      <c r="C45" s="32" t="n">
        <v>458.62</v>
      </c>
      <c r="E45" s="32">
        <f>$F$16*C45+(1-$F$16)*(E44+F44)</f>
        <v/>
      </c>
      <c r="F45" s="32">
        <f>$F$17*(E45-E44)+(1-$F$17)*F44</f>
        <v/>
      </c>
      <c r="G45" s="32">
        <f>E44+F44</f>
        <v/>
      </c>
      <c r="H45" s="32">
        <f>C45-G45</f>
        <v/>
      </c>
      <c r="I45" s="33">
        <f>H45/C45</f>
        <v/>
      </c>
    </row>
    <row r="46">
      <c r="A46" s="42" t="n">
        <v>40065</v>
      </c>
      <c r="B46" s="43" t="n">
        <v>27</v>
      </c>
      <c r="C46" s="32" t="n">
        <v>463.97</v>
      </c>
      <c r="E46" s="32">
        <f>$F$16*C46+(1-$F$16)*(E45+F45)</f>
        <v/>
      </c>
      <c r="F46" s="32">
        <f>$F$17*(E46-E45)+(1-$F$17)*F45</f>
        <v/>
      </c>
      <c r="G46" s="32">
        <f>E45+F45</f>
        <v/>
      </c>
      <c r="H46" s="32">
        <f>C46-G46</f>
        <v/>
      </c>
      <c r="I46" s="33">
        <f>H46/C46</f>
        <v/>
      </c>
    </row>
    <row r="47">
      <c r="A47" s="42" t="n">
        <v>40066</v>
      </c>
      <c r="B47" s="43" t="n">
        <v>28</v>
      </c>
      <c r="C47" s="32" t="n">
        <v>470.94</v>
      </c>
      <c r="E47" s="32">
        <f>$F$16*C47+(1-$F$16)*(E46+F46)</f>
        <v/>
      </c>
      <c r="F47" s="32">
        <f>$F$17*(E47-E46)+(1-$F$17)*F46</f>
        <v/>
      </c>
      <c r="G47" s="32">
        <f>E46+F46</f>
        <v/>
      </c>
      <c r="H47" s="32">
        <f>C47-G47</f>
        <v/>
      </c>
      <c r="I47" s="33">
        <f>H47/C47</f>
        <v/>
      </c>
    </row>
    <row r="48">
      <c r="A48" s="42" t="n">
        <v>40067</v>
      </c>
      <c r="B48" s="43" t="n">
        <v>29</v>
      </c>
      <c r="C48" s="32" t="n">
        <v>472.14</v>
      </c>
      <c r="E48" s="32">
        <f>$F$16*C48+(1-$F$16)*(E47+F47)</f>
        <v/>
      </c>
      <c r="F48" s="32">
        <f>$F$17*(E48-E47)+(1-$F$17)*F47</f>
        <v/>
      </c>
      <c r="G48" s="32">
        <f>E47+F47</f>
        <v/>
      </c>
      <c r="H48" s="32">
        <f>C48-G48</f>
        <v/>
      </c>
      <c r="I48" s="33">
        <f>H48/C48</f>
        <v/>
      </c>
    </row>
    <row r="49">
      <c r="A49" s="42" t="n">
        <v>40070</v>
      </c>
      <c r="B49" s="43" t="n">
        <v>30</v>
      </c>
      <c r="C49" s="32" t="n">
        <v>475.12</v>
      </c>
      <c r="E49" s="32">
        <f>$F$16*C49+(1-$F$16)*(E48+F48)</f>
        <v/>
      </c>
      <c r="F49" s="32">
        <f>$F$17*(E49-E48)+(1-$F$17)*F48</f>
        <v/>
      </c>
      <c r="G49" s="32">
        <f>E48+F48</f>
        <v/>
      </c>
      <c r="H49" s="32">
        <f>C49-G49</f>
        <v/>
      </c>
      <c r="I49" s="33">
        <f>H49/C49</f>
        <v/>
      </c>
    </row>
    <row r="50">
      <c r="A50" s="42" t="n">
        <v>40071</v>
      </c>
      <c r="B50" s="43" t="n">
        <v>31</v>
      </c>
      <c r="C50" s="32" t="n">
        <v>477.54</v>
      </c>
      <c r="E50" s="32">
        <f>$F$16*C50+(1-$F$16)*(E49+F49)</f>
        <v/>
      </c>
      <c r="F50" s="32">
        <f>$F$17*(E50-E49)+(1-$F$17)*F49</f>
        <v/>
      </c>
      <c r="G50" s="32">
        <f>E49+F49</f>
        <v/>
      </c>
      <c r="H50" s="32">
        <f>C50-G50</f>
        <v/>
      </c>
      <c r="I50" s="33">
        <f>H50/C50</f>
        <v/>
      </c>
    </row>
    <row r="51">
      <c r="A51" s="42" t="n">
        <v>40072</v>
      </c>
      <c r="B51" s="43" t="n">
        <v>32</v>
      </c>
      <c r="C51" s="32" t="n">
        <v>488.29</v>
      </c>
      <c r="E51" s="32">
        <f>$F$16*C51+(1-$F$16)*(E50+F50)</f>
        <v/>
      </c>
      <c r="F51" s="32">
        <f>$F$17*(E51-E50)+(1-$F$17)*F50</f>
        <v/>
      </c>
      <c r="G51" s="32">
        <f>E50+F50</f>
        <v/>
      </c>
      <c r="H51" s="32">
        <f>C51-G51</f>
        <v/>
      </c>
      <c r="I51" s="33">
        <f>H51/C51</f>
        <v/>
      </c>
    </row>
    <row r="52">
      <c r="A52" s="42" t="n">
        <v>40073</v>
      </c>
      <c r="B52" s="43" t="n">
        <v>33</v>
      </c>
      <c r="C52" s="32" t="n">
        <v>491.72</v>
      </c>
      <c r="E52" s="32">
        <f>$F$16*C52+(1-$F$16)*(E51+F51)</f>
        <v/>
      </c>
      <c r="F52" s="32">
        <f>$F$17*(E52-E51)+(1-$F$17)*F51</f>
        <v/>
      </c>
      <c r="G52" s="32">
        <f>E51+F51</f>
        <v/>
      </c>
      <c r="H52" s="32">
        <f>C52-G52</f>
        <v/>
      </c>
      <c r="I52" s="33">
        <f>H52/C52</f>
        <v/>
      </c>
    </row>
    <row r="53">
      <c r="A53" s="42" t="n">
        <v>40074</v>
      </c>
      <c r="B53" s="43" t="n">
        <v>34</v>
      </c>
      <c r="C53" s="32" t="n">
        <v>491.46</v>
      </c>
      <c r="E53" s="32">
        <f>$F$16*C53+(1-$F$16)*(E52+F52)</f>
        <v/>
      </c>
      <c r="F53" s="32">
        <f>$F$17*(E53-E52)+(1-$F$17)*F52</f>
        <v/>
      </c>
      <c r="G53" s="32">
        <f>E52+F52</f>
        <v/>
      </c>
      <c r="H53" s="32">
        <f>C53-G53</f>
        <v/>
      </c>
      <c r="I53" s="33">
        <f>H53/C53</f>
        <v/>
      </c>
    </row>
    <row r="54">
      <c r="A54" s="42" t="n">
        <v>40077</v>
      </c>
      <c r="B54" s="43" t="n">
        <v>35</v>
      </c>
      <c r="C54" s="32" t="n">
        <v>497</v>
      </c>
      <c r="E54" s="32">
        <f>$F$16*C54+(1-$F$16)*(E53+F53)</f>
        <v/>
      </c>
      <c r="F54" s="32">
        <f>$F$17*(E54-E53)+(1-$F$17)*F53</f>
        <v/>
      </c>
      <c r="G54" s="32">
        <f>E53+F53</f>
        <v/>
      </c>
      <c r="H54" s="32">
        <f>C54-G54</f>
        <v/>
      </c>
      <c r="I54" s="33">
        <f>H54/C54</f>
        <v/>
      </c>
    </row>
    <row r="55">
      <c r="A55" s="42" t="n">
        <v>40078</v>
      </c>
      <c r="B55" s="43" t="n">
        <v>36</v>
      </c>
      <c r="C55" s="32" t="n">
        <v>499.06</v>
      </c>
      <c r="E55" s="32">
        <f>$F$16*C55+(1-$F$16)*(E54+F54)</f>
        <v/>
      </c>
      <c r="F55" s="32">
        <f>$F$17*(E55-E54)+(1-$F$17)*F54</f>
        <v/>
      </c>
      <c r="G55" s="32">
        <f>E54+F54</f>
        <v/>
      </c>
      <c r="H55" s="32">
        <f>C55-G55</f>
        <v/>
      </c>
      <c r="I55" s="33">
        <f>H55/C55</f>
        <v/>
      </c>
    </row>
    <row r="56">
      <c r="A56" s="42" t="n">
        <v>40079</v>
      </c>
      <c r="B56" s="43" t="n">
        <v>37</v>
      </c>
      <c r="C56" s="32" t="n">
        <v>498.46</v>
      </c>
      <c r="E56" s="32">
        <f>$F$16*C56+(1-$F$16)*(E55+F55)</f>
        <v/>
      </c>
      <c r="F56" s="32">
        <f>$F$17*(E56-E55)+(1-$F$17)*F55</f>
        <v/>
      </c>
      <c r="G56" s="32">
        <f>E55+F55</f>
        <v/>
      </c>
      <c r="H56" s="32">
        <f>C56-G56</f>
        <v/>
      </c>
      <c r="I56" s="33">
        <f>H56/C56</f>
        <v/>
      </c>
    </row>
    <row r="57">
      <c r="A57" s="42" t="n">
        <v>40080</v>
      </c>
      <c r="B57" s="43" t="n">
        <v>38</v>
      </c>
      <c r="C57" s="32" t="n">
        <v>496.77</v>
      </c>
      <c r="E57" s="32">
        <f>$F$16*C57+(1-$F$16)*(E56+F56)</f>
        <v/>
      </c>
      <c r="F57" s="32">
        <f>$F$17*(E57-E56)+(1-$F$17)*F56</f>
        <v/>
      </c>
      <c r="G57" s="32">
        <f>E56+F56</f>
        <v/>
      </c>
      <c r="H57" s="32">
        <f>C57-G57</f>
        <v/>
      </c>
      <c r="I57" s="33">
        <f>H57/C57</f>
        <v/>
      </c>
    </row>
    <row r="58">
      <c r="A58" s="42" t="n">
        <v>40081</v>
      </c>
      <c r="B58" s="43" t="n">
        <v>39</v>
      </c>
      <c r="C58" s="32" t="n">
        <v>492.48</v>
      </c>
      <c r="E58" s="32">
        <f>$F$16*C58+(1-$F$16)*(E57+F57)</f>
        <v/>
      </c>
      <c r="F58" s="32">
        <f>$F$17*(E58-E57)+(1-$F$17)*F57</f>
        <v/>
      </c>
      <c r="G58" s="32">
        <f>E57+F57</f>
        <v/>
      </c>
      <c r="H58" s="32">
        <f>C58-G58</f>
        <v/>
      </c>
      <c r="I58" s="33">
        <f>H58/C58</f>
        <v/>
      </c>
    </row>
    <row r="59">
      <c r="A59" s="42" t="n">
        <v>40084</v>
      </c>
      <c r="B59" s="43" t="n">
        <v>40</v>
      </c>
      <c r="C59" s="32" t="n">
        <v>498.53</v>
      </c>
      <c r="E59" s="32">
        <f>$F$16*C59+(1-$F$16)*(E58+F58)</f>
        <v/>
      </c>
      <c r="F59" s="32">
        <f>$F$17*(E59-E58)+(1-$F$17)*F58</f>
        <v/>
      </c>
      <c r="G59" s="32">
        <f>E58+F58</f>
        <v/>
      </c>
      <c r="H59" s="32">
        <f>C59-G59</f>
        <v/>
      </c>
      <c r="I59" s="33">
        <f>H59/C59</f>
        <v/>
      </c>
    </row>
    <row r="60">
      <c r="A60" s="42" t="n">
        <v>40085</v>
      </c>
      <c r="B60" s="43" t="n">
        <v>41</v>
      </c>
      <c r="C60" s="32" t="n">
        <v>498.53</v>
      </c>
      <c r="E60" s="32">
        <f>$F$16*C60+(1-$F$16)*(E59+F59)</f>
        <v/>
      </c>
      <c r="F60" s="32">
        <f>$F$17*(E60-E59)+(1-$F$17)*F59</f>
        <v/>
      </c>
      <c r="G60" s="32">
        <f>E59+F59</f>
        <v/>
      </c>
      <c r="H60" s="32">
        <f>C60-G60</f>
        <v/>
      </c>
      <c r="I60" s="33">
        <f>H60/C60</f>
        <v/>
      </c>
    </row>
    <row r="61">
      <c r="A61" s="42" t="n">
        <v>40086</v>
      </c>
      <c r="B61" s="43" t="n">
        <v>42</v>
      </c>
      <c r="C61" s="32" t="n">
        <v>495.85</v>
      </c>
      <c r="E61" s="32">
        <f>$F$16*C61+(1-$F$16)*(E60+F60)</f>
        <v/>
      </c>
      <c r="F61" s="32">
        <f>$F$17*(E61-E60)+(1-$F$17)*F60</f>
        <v/>
      </c>
      <c r="G61" s="32">
        <f>E60+F60</f>
        <v/>
      </c>
      <c r="H61" s="32">
        <f>C61-G61</f>
        <v/>
      </c>
      <c r="I61" s="33">
        <f>H61/C61</f>
        <v/>
      </c>
    </row>
    <row r="62">
      <c r="A62" s="42" t="n">
        <v>40087</v>
      </c>
      <c r="B62" s="43" t="n">
        <v>43</v>
      </c>
      <c r="C62" s="32" t="n">
        <v>487.2</v>
      </c>
      <c r="E62" s="32">
        <f>$F$16*C62+(1-$F$16)*(E61+F61)</f>
        <v/>
      </c>
      <c r="F62" s="32">
        <f>$F$17*(E62-E61)+(1-$F$17)*F61</f>
        <v/>
      </c>
      <c r="G62" s="32">
        <f>E61+F61</f>
        <v/>
      </c>
      <c r="H62" s="32">
        <f>C62-G62</f>
        <v/>
      </c>
      <c r="I62" s="33">
        <f>H62/C62</f>
        <v/>
      </c>
    </row>
    <row r="63">
      <c r="A63" s="42" t="n">
        <v>40088</v>
      </c>
      <c r="B63" s="43" t="n">
        <v>44</v>
      </c>
      <c r="C63" s="32" t="n">
        <v>484.58</v>
      </c>
      <c r="E63" s="32">
        <f>$F$16*C63+(1-$F$16)*(E62+F62)</f>
        <v/>
      </c>
      <c r="F63" s="32">
        <f>$F$17*(E63-E62)+(1-$F$17)*F62</f>
        <v/>
      </c>
      <c r="G63" s="32">
        <f>E62+F62</f>
        <v/>
      </c>
      <c r="H63" s="32">
        <f>C63-G63</f>
        <v/>
      </c>
      <c r="I63" s="33">
        <f>H63/C63</f>
        <v/>
      </c>
    </row>
    <row r="64">
      <c r="A64" s="42" t="n">
        <v>40091</v>
      </c>
      <c r="B64" s="43" t="n">
        <v>45</v>
      </c>
      <c r="C64" s="32" t="n">
        <v>488.52</v>
      </c>
      <c r="E64" s="32">
        <f>$F$16*C64+(1-$F$16)*(E63+F63)</f>
        <v/>
      </c>
      <c r="F64" s="32">
        <f>$F$17*(E64-E63)+(1-$F$17)*F63</f>
        <v/>
      </c>
      <c r="G64" s="32">
        <f>E63+F63</f>
        <v/>
      </c>
      <c r="H64" s="32">
        <f>C64-G64</f>
        <v/>
      </c>
      <c r="I64" s="33">
        <f>H64/C64</f>
        <v/>
      </c>
    </row>
    <row r="65">
      <c r="A65" s="42" t="n">
        <v>40092</v>
      </c>
      <c r="B65" s="43" t="n">
        <v>46</v>
      </c>
      <c r="C65" s="32" t="n">
        <v>498.74</v>
      </c>
      <c r="E65" s="32">
        <f>$F$16*C65+(1-$F$16)*(E64+F64)</f>
        <v/>
      </c>
      <c r="F65" s="32">
        <f>$F$17*(E65-E64)+(1-$F$17)*F64</f>
        <v/>
      </c>
      <c r="G65" s="32">
        <f>E64+F64</f>
        <v/>
      </c>
      <c r="H65" s="32">
        <f>C65-G65</f>
        <v/>
      </c>
      <c r="I65" s="33">
        <f>H65/C65</f>
        <v/>
      </c>
    </row>
    <row r="66">
      <c r="A66" s="42" t="n">
        <v>40093</v>
      </c>
      <c r="B66" s="43" t="n">
        <v>47</v>
      </c>
      <c r="C66" s="32" t="n">
        <v>517.54</v>
      </c>
      <c r="E66" s="32">
        <f>$F$16*C66+(1-$F$16)*(E65+F65)</f>
        <v/>
      </c>
      <c r="F66" s="32">
        <f>$F$17*(E66-E65)+(1-$F$17)*F65</f>
        <v/>
      </c>
      <c r="G66" s="32">
        <f>E65+F65</f>
        <v/>
      </c>
      <c r="H66" s="32">
        <f>C66-G66</f>
        <v/>
      </c>
      <c r="I66" s="33">
        <f>H66/C66</f>
        <v/>
      </c>
    </row>
    <row r="67">
      <c r="A67" s="42" t="n">
        <v>40094</v>
      </c>
      <c r="B67" s="43" t="n">
        <v>48</v>
      </c>
      <c r="C67" s="32" t="n">
        <v>514.1799999999999</v>
      </c>
      <c r="E67" s="32">
        <f>$F$16*C67+(1-$F$16)*(E66+F66)</f>
        <v/>
      </c>
      <c r="F67" s="32">
        <f>$F$17*(E67-E66)+(1-$F$17)*F66</f>
        <v/>
      </c>
      <c r="G67" s="32">
        <f>E66+F66</f>
        <v/>
      </c>
      <c r="H67" s="32">
        <f>C67-G67</f>
        <v/>
      </c>
      <c r="I67" s="33">
        <f>H67/C67</f>
        <v/>
      </c>
    </row>
    <row r="68">
      <c r="A68" s="42" t="n">
        <v>40095</v>
      </c>
      <c r="B68" s="43" t="n">
        <v>49</v>
      </c>
      <c r="C68" s="32" t="n">
        <v>516.25</v>
      </c>
      <c r="E68" s="32">
        <f>$F$16*C68+(1-$F$16)*(E67+F67)</f>
        <v/>
      </c>
      <c r="F68" s="32">
        <f>$F$17*(E68-E67)+(1-$F$17)*F67</f>
        <v/>
      </c>
      <c r="G68" s="32">
        <f>E67+F67</f>
        <v/>
      </c>
      <c r="H68" s="32">
        <f>C68-G68</f>
        <v/>
      </c>
      <c r="I68" s="33">
        <f>H68/C68</f>
        <v/>
      </c>
    </row>
    <row r="69">
      <c r="A69" s="42" t="n">
        <v>40098</v>
      </c>
      <c r="B69" s="43" t="n">
        <v>50</v>
      </c>
      <c r="C69" s="32" t="n">
        <v>524.04</v>
      </c>
      <c r="E69" s="32">
        <f>$F$16*C69+(1-$F$16)*(E68+F68)</f>
        <v/>
      </c>
      <c r="F69" s="32">
        <f>$F$17*(E69-E68)+(1-$F$17)*F68</f>
        <v/>
      </c>
      <c r="G69" s="32">
        <f>E68+F68</f>
        <v/>
      </c>
      <c r="H69" s="32">
        <f>C69-G69</f>
        <v/>
      </c>
      <c r="I69" s="33">
        <f>H69/C69</f>
        <v/>
      </c>
    </row>
    <row r="70">
      <c r="A70" s="42" t="n">
        <v>40099</v>
      </c>
      <c r="B70" s="43" t="n">
        <v>51</v>
      </c>
      <c r="C70" s="32" t="n">
        <v>526.11</v>
      </c>
      <c r="E70" s="32">
        <f>$F$16*C70+(1-$F$16)*(E69+F69)</f>
        <v/>
      </c>
      <c r="F70" s="32">
        <f>$F$17*(E70-E69)+(1-$F$17)*F69</f>
        <v/>
      </c>
      <c r="G70" s="32">
        <f>E69+F69</f>
        <v/>
      </c>
      <c r="H70" s="32">
        <f>C70-G70</f>
        <v/>
      </c>
      <c r="I70" s="33">
        <f>H70/C70</f>
        <v/>
      </c>
    </row>
    <row r="71">
      <c r="A71" s="42" t="n">
        <v>40100</v>
      </c>
      <c r="B71" s="43" t="n">
        <v>52</v>
      </c>
      <c r="C71" s="32" t="n">
        <v>535.3200000000001</v>
      </c>
      <c r="E71" s="32">
        <f>$F$16*C71+(1-$F$16)*(E70+F70)</f>
        <v/>
      </c>
      <c r="F71" s="32">
        <f>$F$17*(E71-E70)+(1-$F$17)*F70</f>
        <v/>
      </c>
      <c r="G71" s="32">
        <f>E70+F70</f>
        <v/>
      </c>
      <c r="H71" s="32">
        <f>C71-G71</f>
        <v/>
      </c>
      <c r="I71" s="33">
        <f>H71/C71</f>
        <v/>
      </c>
    </row>
    <row r="72">
      <c r="A72" s="42" t="n">
        <v>40101</v>
      </c>
      <c r="B72" s="43" t="n">
        <v>53</v>
      </c>
      <c r="C72" s="32" t="n">
        <v>529.91</v>
      </c>
      <c r="E72" s="32">
        <f>$F$16*C72+(1-$F$16)*(E71+F71)</f>
        <v/>
      </c>
      <c r="F72" s="32">
        <f>$F$17*(E72-E71)+(1-$F$17)*F71</f>
        <v/>
      </c>
      <c r="G72" s="32">
        <f>E71+F71</f>
        <v/>
      </c>
      <c r="H72" s="32">
        <f>C72-G72</f>
        <v/>
      </c>
      <c r="I72" s="33">
        <f>H72/C72</f>
        <v/>
      </c>
    </row>
    <row r="73">
      <c r="A73" s="42" t="n">
        <v>40102</v>
      </c>
      <c r="B73" s="43" t="n">
        <v>54</v>
      </c>
      <c r="C73" s="32" t="n">
        <v>549.85</v>
      </c>
      <c r="E73" s="32">
        <f>$F$16*C73+(1-$F$16)*(E72+F72)</f>
        <v/>
      </c>
      <c r="F73" s="32">
        <f>$F$17*(E73-E72)+(1-$F$17)*F72</f>
        <v/>
      </c>
      <c r="G73" s="32">
        <f>E72+F72</f>
        <v/>
      </c>
      <c r="H73" s="32">
        <f>C73-G73</f>
        <v/>
      </c>
      <c r="I73" s="33">
        <f>H73/C73</f>
        <v/>
      </c>
    </row>
    <row r="74">
      <c r="A74" s="42" t="n">
        <v>40105</v>
      </c>
      <c r="B74" s="43" t="n">
        <v>55</v>
      </c>
      <c r="C74" s="32" t="n">
        <v>552.09</v>
      </c>
      <c r="E74" s="32">
        <f>$F$16*C74+(1-$F$16)*(E73+F73)</f>
        <v/>
      </c>
      <c r="F74" s="32">
        <f>$F$17*(E74-E73)+(1-$F$17)*F73</f>
        <v/>
      </c>
      <c r="G74" s="32">
        <f>E73+F73</f>
        <v/>
      </c>
      <c r="H74" s="32">
        <f>C74-G74</f>
        <v/>
      </c>
      <c r="I74" s="33">
        <f>H74/C74</f>
        <v/>
      </c>
    </row>
    <row r="75">
      <c r="A75" s="42" t="n">
        <v>40106</v>
      </c>
      <c r="B75" s="43" t="n">
        <v>56</v>
      </c>
      <c r="C75" s="32" t="n">
        <v>551.72</v>
      </c>
      <c r="E75" s="32">
        <f>$F$16*C75+(1-$F$16)*(E74+F74)</f>
        <v/>
      </c>
      <c r="F75" s="32">
        <f>$F$17*(E75-E74)+(1-$F$17)*F74</f>
        <v/>
      </c>
      <c r="G75" s="32">
        <f>E74+F74</f>
        <v/>
      </c>
      <c r="H75" s="32">
        <f>C75-G75</f>
        <v/>
      </c>
      <c r="I75" s="33">
        <f>H75/C75</f>
        <v/>
      </c>
    </row>
    <row r="76">
      <c r="A76" s="42" t="n">
        <v>40107</v>
      </c>
      <c r="B76" s="43" t="n">
        <v>57</v>
      </c>
      <c r="C76" s="32" t="n">
        <v>551.1</v>
      </c>
      <c r="E76" s="32">
        <f>$F$16*C76+(1-$F$16)*(E75+F75)</f>
        <v/>
      </c>
      <c r="F76" s="32">
        <f>$F$17*(E76-E75)+(1-$F$17)*F75</f>
        <v/>
      </c>
      <c r="G76" s="32">
        <f>E75+F75</f>
        <v/>
      </c>
      <c r="H76" s="32">
        <f>C76-G76</f>
        <v/>
      </c>
      <c r="I76" s="33">
        <f>H76/C76</f>
        <v/>
      </c>
    </row>
    <row r="77">
      <c r="A77" s="42" t="n">
        <v>40108</v>
      </c>
      <c r="B77" s="43" t="n">
        <v>58</v>
      </c>
      <c r="C77" s="32" t="n">
        <v>554.09</v>
      </c>
      <c r="E77" s="32">
        <f>$F$16*C77+(1-$F$16)*(E76+F76)</f>
        <v/>
      </c>
      <c r="F77" s="32">
        <f>$F$17*(E77-E76)+(1-$F$17)*F76</f>
        <v/>
      </c>
      <c r="G77" s="32">
        <f>E76+F76</f>
        <v/>
      </c>
      <c r="H77" s="32">
        <f>C77-G77</f>
        <v/>
      </c>
      <c r="I77" s="33">
        <f>H77/C77</f>
        <v/>
      </c>
    </row>
    <row r="78">
      <c r="A78" s="42" t="n">
        <v>40109</v>
      </c>
      <c r="B78" s="43" t="n">
        <v>59</v>
      </c>
      <c r="C78" s="32" t="n">
        <v>553.6900000000001</v>
      </c>
      <c r="E78" s="32">
        <f>$F$16*C78+(1-$F$16)*(E77+F77)</f>
        <v/>
      </c>
      <c r="F78" s="32">
        <f>$F$17*(E78-E77)+(1-$F$17)*F77</f>
        <v/>
      </c>
      <c r="G78" s="32">
        <f>E77+F77</f>
        <v/>
      </c>
      <c r="H78" s="32">
        <f>C78-G78</f>
        <v/>
      </c>
      <c r="I78" s="33">
        <f>H78/C78</f>
        <v/>
      </c>
    </row>
    <row r="79">
      <c r="A79" s="42" t="n">
        <v>40112</v>
      </c>
      <c r="B79" s="43" t="n">
        <v>60</v>
      </c>
      <c r="C79" s="32" t="n">
        <v>554.21</v>
      </c>
      <c r="E79" s="32">
        <f>$F$16*C79+(1-$F$16)*(E78+F78)</f>
        <v/>
      </c>
      <c r="F79" s="32">
        <f>$F$17*(E79-E78)+(1-$F$17)*F78</f>
        <v/>
      </c>
      <c r="G79" s="32">
        <f>E78+F78</f>
        <v/>
      </c>
      <c r="H79" s="32">
        <f>C79-G79</f>
        <v/>
      </c>
      <c r="I79" s="33">
        <f>H79/C79</f>
        <v/>
      </c>
    </row>
    <row r="80">
      <c r="A80" s="42" t="n">
        <v>40113</v>
      </c>
      <c r="B80" s="43" t="n">
        <v>61</v>
      </c>
      <c r="C80" s="32" t="n">
        <v>548.29</v>
      </c>
      <c r="E80" s="32">
        <f>$F$16*C80+(1-$F$16)*(E79+F79)</f>
        <v/>
      </c>
      <c r="F80" s="32">
        <f>$F$17*(E80-E79)+(1-$F$17)*F79</f>
        <v/>
      </c>
      <c r="G80" s="32">
        <f>E79+F79</f>
        <v/>
      </c>
      <c r="H80" s="32">
        <f>C80-G80</f>
        <v/>
      </c>
      <c r="I80" s="33">
        <f>H80/C80</f>
        <v/>
      </c>
    </row>
    <row r="81">
      <c r="A81" s="42" t="n">
        <v>40114</v>
      </c>
      <c r="B81" s="43" t="n">
        <v>62</v>
      </c>
      <c r="C81" s="32" t="n">
        <v>540.3</v>
      </c>
      <c r="E81" s="32">
        <f>$F$16*C81+(1-$F$16)*(E80+F80)</f>
        <v/>
      </c>
      <c r="F81" s="32">
        <f>$F$17*(E81-E80)+(1-$F$17)*F80</f>
        <v/>
      </c>
      <c r="G81" s="32">
        <f>E80+F80</f>
        <v/>
      </c>
      <c r="H81" s="32">
        <f>C81-G81</f>
        <v/>
      </c>
      <c r="I81" s="33">
        <f>H81/C81</f>
        <v/>
      </c>
    </row>
    <row r="82">
      <c r="A82" s="42" t="n">
        <v>40115</v>
      </c>
      <c r="B82" s="43" t="n">
        <v>63</v>
      </c>
      <c r="C82" s="32" t="n">
        <v>551.05</v>
      </c>
      <c r="E82" s="32">
        <f>$F$16*C82+(1-$F$16)*(E81+F81)</f>
        <v/>
      </c>
      <c r="F82" s="32">
        <f>$F$17*(E82-E81)+(1-$F$17)*F81</f>
        <v/>
      </c>
      <c r="G82" s="32">
        <f>E81+F81</f>
        <v/>
      </c>
      <c r="H82" s="32">
        <f>C82-G82</f>
        <v/>
      </c>
      <c r="I82" s="33">
        <f>H82/C82</f>
        <v/>
      </c>
    </row>
    <row r="83">
      <c r="A83" s="42" t="n">
        <v>40116</v>
      </c>
      <c r="B83" s="43" t="n">
        <v>64</v>
      </c>
      <c r="C83" s="32" t="n">
        <v>536.12</v>
      </c>
      <c r="E83" s="32">
        <f>$F$16*C83+(1-$F$16)*(E82+F82)</f>
        <v/>
      </c>
      <c r="F83" s="32">
        <f>$F$17*(E83-E82)+(1-$F$17)*F82</f>
        <v/>
      </c>
      <c r="G83" s="32">
        <f>E82+F82</f>
        <v/>
      </c>
      <c r="H83" s="32">
        <f>C83-G83</f>
        <v/>
      </c>
      <c r="I83" s="33">
        <f>H83/C83</f>
        <v/>
      </c>
    </row>
    <row r="84">
      <c r="A84" s="42" t="n">
        <v>40119</v>
      </c>
      <c r="B84" s="43" t="n">
        <v>65</v>
      </c>
      <c r="C84" s="32" t="n">
        <v>533.99</v>
      </c>
      <c r="E84" s="32">
        <f>$F$16*C84+(1-$F$16)*(E83+F83)</f>
        <v/>
      </c>
      <c r="F84" s="32">
        <f>$F$17*(E84-E83)+(1-$F$17)*F83</f>
        <v/>
      </c>
      <c r="G84" s="32">
        <f>E83+F83</f>
        <v/>
      </c>
      <c r="H84" s="32">
        <f>C84-G84</f>
        <v/>
      </c>
      <c r="I84" s="33">
        <f>H84/C84</f>
        <v/>
      </c>
    </row>
    <row r="85">
      <c r="A85" s="42" t="n">
        <v>40120</v>
      </c>
      <c r="B85" s="43" t="n">
        <v>66</v>
      </c>
      <c r="C85" s="32" t="n">
        <v>537.29</v>
      </c>
      <c r="E85" s="32">
        <f>$F$16*C85+(1-$F$16)*(E84+F84)</f>
        <v/>
      </c>
      <c r="F85" s="32">
        <f>$F$17*(E85-E84)+(1-$F$17)*F84</f>
        <v/>
      </c>
      <c r="G85" s="32">
        <f>E84+F84</f>
        <v/>
      </c>
      <c r="H85" s="32">
        <f>C85-G85</f>
        <v/>
      </c>
      <c r="I85" s="33">
        <f>H85/C85</f>
        <v/>
      </c>
    </row>
    <row r="86">
      <c r="A86" s="42" t="n">
        <v>40121</v>
      </c>
      <c r="B86" s="43" t="n">
        <v>67</v>
      </c>
      <c r="C86" s="32" t="n">
        <v>540.33</v>
      </c>
      <c r="E86" s="32">
        <f>$F$16*C86+(1-$F$16)*(E85+F85)</f>
        <v/>
      </c>
      <c r="F86" s="32">
        <f>$F$17*(E86-E85)+(1-$F$17)*F85</f>
        <v/>
      </c>
      <c r="G86" s="32">
        <f>E85+F85</f>
        <v/>
      </c>
      <c r="H86" s="32">
        <f>C86-G86</f>
        <v/>
      </c>
      <c r="I86" s="33">
        <f>H86/C86</f>
        <v/>
      </c>
    </row>
    <row r="87">
      <c r="A87" s="42" t="n">
        <v>40122</v>
      </c>
      <c r="B87" s="43" t="n">
        <v>68</v>
      </c>
      <c r="C87" s="32" t="n">
        <v>548.65</v>
      </c>
      <c r="E87" s="32">
        <f>$F$16*C87+(1-$F$16)*(E86+F86)</f>
        <v/>
      </c>
      <c r="F87" s="32">
        <f>$F$17*(E87-E86)+(1-$F$17)*F86</f>
        <v/>
      </c>
      <c r="G87" s="32">
        <f>E86+F86</f>
        <v/>
      </c>
      <c r="H87" s="32">
        <f>C87-G87</f>
        <v/>
      </c>
      <c r="I87" s="33">
        <f>H87/C87</f>
        <v/>
      </c>
    </row>
    <row r="88">
      <c r="A88" s="42" t="n">
        <v>40123</v>
      </c>
      <c r="B88" s="43" t="n">
        <v>69</v>
      </c>
      <c r="C88" s="32" t="n">
        <v>551.1</v>
      </c>
      <c r="E88" s="32">
        <f>$F$16*C88+(1-$F$16)*(E87+F87)</f>
        <v/>
      </c>
      <c r="F88" s="32">
        <f>$F$17*(E88-E87)+(1-$F$17)*F87</f>
        <v/>
      </c>
      <c r="G88" s="32">
        <f>E87+F87</f>
        <v/>
      </c>
      <c r="H88" s="32">
        <f>C88-G88</f>
        <v/>
      </c>
      <c r="I88" s="33">
        <f>H88/C88</f>
        <v/>
      </c>
    </row>
    <row r="89">
      <c r="A89" s="42" t="n">
        <v>40126</v>
      </c>
      <c r="B89" s="43" t="n">
        <v>70</v>
      </c>
      <c r="C89" s="32" t="n">
        <v>562.51</v>
      </c>
      <c r="E89" s="32">
        <f>$F$16*C89+(1-$F$16)*(E88+F88)</f>
        <v/>
      </c>
      <c r="F89" s="32">
        <f>$F$17*(E89-E88)+(1-$F$17)*F88</f>
        <v/>
      </c>
      <c r="G89" s="32">
        <f>E88+F88</f>
        <v/>
      </c>
      <c r="H89" s="32">
        <f>C89-G89</f>
        <v/>
      </c>
      <c r="I89" s="33">
        <f>H89/C89</f>
        <v/>
      </c>
    </row>
    <row r="90">
      <c r="A90" s="42" t="n">
        <v>40127</v>
      </c>
      <c r="B90" s="43" t="n">
        <v>71</v>
      </c>
      <c r="C90" s="32" t="n">
        <v>566.76</v>
      </c>
      <c r="E90" s="32">
        <f>$F$16*C90+(1-$F$16)*(E89+F89)</f>
        <v/>
      </c>
      <c r="F90" s="32">
        <f>$F$17*(E90-E89)+(1-$F$17)*F89</f>
        <v/>
      </c>
      <c r="G90" s="32">
        <f>E89+F89</f>
        <v/>
      </c>
      <c r="H90" s="32">
        <f>C90-G90</f>
        <v/>
      </c>
      <c r="I90" s="33">
        <f>H90/C90</f>
        <v/>
      </c>
    </row>
    <row r="91">
      <c r="A91" s="42" t="n">
        <v>40128</v>
      </c>
      <c r="B91" s="43" t="n">
        <v>72</v>
      </c>
      <c r="C91" s="32" t="n">
        <v>570.5599999999999</v>
      </c>
      <c r="E91" s="32">
        <f>$F$16*C91+(1-$F$16)*(E90+F90)</f>
        <v/>
      </c>
      <c r="F91" s="32">
        <f>$F$17*(E91-E90)+(1-$F$17)*F90</f>
        <v/>
      </c>
      <c r="G91" s="32">
        <f>E90+F90</f>
        <v/>
      </c>
      <c r="H91" s="32">
        <f>C91-G91</f>
        <v/>
      </c>
      <c r="I91" s="33">
        <f>H91/C91</f>
        <v/>
      </c>
    </row>
    <row r="92">
      <c r="A92" s="42" t="n">
        <v>40129</v>
      </c>
      <c r="B92" s="43" t="n">
        <v>73</v>
      </c>
      <c r="C92" s="32" t="n">
        <v>567.85</v>
      </c>
      <c r="E92" s="32">
        <f>$F$16*C92+(1-$F$16)*(E91+F91)</f>
        <v/>
      </c>
      <c r="F92" s="32">
        <f>$F$17*(E92-E91)+(1-$F$17)*F91</f>
        <v/>
      </c>
      <c r="G92" s="32">
        <f>E91+F91</f>
        <v/>
      </c>
      <c r="H92" s="32">
        <f>C92-G92</f>
        <v/>
      </c>
      <c r="I92" s="33">
        <f>H92/C92</f>
        <v/>
      </c>
    </row>
    <row r="93">
      <c r="A93" s="42" t="n">
        <v>40130</v>
      </c>
      <c r="B93" s="43" t="n">
        <v>74</v>
      </c>
      <c r="C93" s="32" t="n">
        <v>572.05</v>
      </c>
      <c r="E93" s="32">
        <f>$F$16*C93+(1-$F$16)*(E92+F92)</f>
        <v/>
      </c>
      <c r="F93" s="32">
        <f>$F$17*(E93-E92)+(1-$F$17)*F92</f>
        <v/>
      </c>
      <c r="G93" s="32">
        <f>E92+F92</f>
        <v/>
      </c>
      <c r="H93" s="32">
        <f>C93-G93</f>
        <v/>
      </c>
      <c r="I93" s="33">
        <f>H93/C93</f>
        <v/>
      </c>
    </row>
    <row r="94">
      <c r="A94" s="42" t="n">
        <v>40133</v>
      </c>
      <c r="B94" s="43" t="n">
        <v>75</v>
      </c>
      <c r="C94" s="32" t="n">
        <v>576.28</v>
      </c>
      <c r="E94" s="32">
        <f>$F$16*C94+(1-$F$16)*(E93+F93)</f>
        <v/>
      </c>
      <c r="F94" s="32">
        <f>$F$17*(E94-E93)+(1-$F$17)*F93</f>
        <v/>
      </c>
      <c r="G94" s="32">
        <f>E93+F93</f>
        <v/>
      </c>
      <c r="H94" s="32">
        <f>C94-G94</f>
        <v/>
      </c>
      <c r="I94" s="33">
        <f>H94/C94</f>
        <v/>
      </c>
    </row>
    <row r="95">
      <c r="A95" s="42" t="n">
        <v>40134</v>
      </c>
      <c r="B95" s="43" t="n">
        <v>76</v>
      </c>
      <c r="C95" s="32" t="n">
        <v>577.49</v>
      </c>
      <c r="E95" s="32">
        <f>$F$16*C95+(1-$F$16)*(E94+F94)</f>
        <v/>
      </c>
      <c r="F95" s="32">
        <f>$F$17*(E95-E94)+(1-$F$17)*F94</f>
        <v/>
      </c>
      <c r="G95" s="32">
        <f>E94+F94</f>
        <v/>
      </c>
      <c r="H95" s="32">
        <f>C95-G95</f>
        <v/>
      </c>
      <c r="I95" s="33">
        <f>H95/C95</f>
        <v/>
      </c>
    </row>
    <row r="96">
      <c r="A96" s="42" t="n">
        <v>40135</v>
      </c>
      <c r="B96" s="43" t="n">
        <v>77</v>
      </c>
      <c r="C96" s="32" t="n">
        <v>576.65</v>
      </c>
      <c r="E96" s="32">
        <f>$F$16*C96+(1-$F$16)*(E95+F95)</f>
        <v/>
      </c>
      <c r="F96" s="32">
        <f>$F$17*(E96-E95)+(1-$F$17)*F95</f>
        <v/>
      </c>
      <c r="G96" s="32">
        <f>E95+F95</f>
        <v/>
      </c>
      <c r="H96" s="32">
        <f>C96-G96</f>
        <v/>
      </c>
      <c r="I96" s="33">
        <f>H96/C96</f>
        <v/>
      </c>
    </row>
    <row r="97">
      <c r="A97" s="42" t="n">
        <v>40136</v>
      </c>
      <c r="B97" s="43" t="n">
        <v>78</v>
      </c>
      <c r="C97" s="32" t="n">
        <v>572.99</v>
      </c>
      <c r="E97" s="32">
        <f>$F$16*C97+(1-$F$16)*(E96+F96)</f>
        <v/>
      </c>
      <c r="F97" s="32">
        <f>$F$17*(E97-E96)+(1-$F$17)*F96</f>
        <v/>
      </c>
      <c r="G97" s="32">
        <f>E96+F96</f>
        <v/>
      </c>
      <c r="H97" s="32">
        <f>C97-G97</f>
        <v/>
      </c>
      <c r="I97" s="33">
        <f>H97/C97</f>
        <v/>
      </c>
    </row>
    <row r="98">
      <c r="A98" s="42" t="n">
        <v>40137</v>
      </c>
      <c r="B98" s="43" t="n">
        <v>79</v>
      </c>
      <c r="C98" s="32" t="n">
        <v>569.96</v>
      </c>
      <c r="E98" s="32">
        <f>$F$16*C98+(1-$F$16)*(E97+F97)</f>
        <v/>
      </c>
      <c r="F98" s="32">
        <f>$F$17*(E98-E97)+(1-$F$17)*F97</f>
        <v/>
      </c>
      <c r="G98" s="32">
        <f>E97+F97</f>
        <v/>
      </c>
      <c r="H98" s="32">
        <f>C98-G98</f>
        <v/>
      </c>
      <c r="I98" s="33">
        <f>H98/C98</f>
        <v/>
      </c>
    </row>
    <row r="99">
      <c r="A99" s="42" t="n">
        <v>40140</v>
      </c>
      <c r="B99" s="43" t="n">
        <v>80</v>
      </c>
      <c r="C99" s="32" t="n">
        <v>582.35</v>
      </c>
      <c r="E99" s="32">
        <f>$F$16*C99+(1-$F$16)*(E98+F98)</f>
        <v/>
      </c>
      <c r="F99" s="32">
        <f>$F$17*(E99-E98)+(1-$F$17)*F98</f>
        <v/>
      </c>
      <c r="G99" s="32">
        <f>E98+F98</f>
        <v/>
      </c>
      <c r="H99" s="32">
        <f>C99-G99</f>
        <v/>
      </c>
      <c r="I99" s="33">
        <f>H99/C99</f>
        <v/>
      </c>
    </row>
    <row r="100">
      <c r="A100" s="42" t="n">
        <v>40141</v>
      </c>
      <c r="B100" s="43" t="n">
        <v>81</v>
      </c>
      <c r="C100" s="32" t="n">
        <v>583.09</v>
      </c>
      <c r="E100" s="32">
        <f>$F$16*C100+(1-$F$16)*(E99+F99)</f>
        <v/>
      </c>
      <c r="F100" s="32">
        <f>$F$17*(E100-E99)+(1-$F$17)*F99</f>
        <v/>
      </c>
      <c r="G100" s="32">
        <f>E99+F99</f>
        <v/>
      </c>
      <c r="H100" s="32">
        <f>C100-G100</f>
        <v/>
      </c>
      <c r="I100" s="33">
        <f>H100/C100</f>
        <v/>
      </c>
    </row>
    <row r="101">
      <c r="A101" s="42" t="n">
        <v>40142</v>
      </c>
      <c r="B101" s="43" t="n">
        <v>82</v>
      </c>
      <c r="C101" s="32" t="n">
        <v>585.74</v>
      </c>
      <c r="E101" s="32">
        <f>$F$16*C101+(1-$F$16)*(E100+F100)</f>
        <v/>
      </c>
      <c r="F101" s="32">
        <f>$F$17*(E101-E100)+(1-$F$17)*F100</f>
        <v/>
      </c>
      <c r="G101" s="32">
        <f>E100+F100</f>
        <v/>
      </c>
      <c r="H101" s="32">
        <f>C101-G101</f>
        <v/>
      </c>
      <c r="I101" s="33">
        <f>H101/C101</f>
        <v/>
      </c>
    </row>
    <row r="102">
      <c r="A102" s="42" t="n">
        <v>40144</v>
      </c>
      <c r="B102" s="43" t="n">
        <v>83</v>
      </c>
      <c r="C102" s="32" t="n">
        <v>579.76</v>
      </c>
      <c r="E102" s="32">
        <f>$F$16*C102+(1-$F$16)*(E101+F101)</f>
        <v/>
      </c>
      <c r="F102" s="32">
        <f>$F$17*(E102-E101)+(1-$F$17)*F101</f>
        <v/>
      </c>
      <c r="G102" s="32">
        <f>E101+F101</f>
        <v/>
      </c>
      <c r="H102" s="32">
        <f>C102-G102</f>
        <v/>
      </c>
      <c r="I102" s="33">
        <f>H102/C102</f>
        <v/>
      </c>
    </row>
    <row r="103">
      <c r="A103" s="42" t="n">
        <v>40147</v>
      </c>
      <c r="B103" s="43" t="n">
        <v>84</v>
      </c>
      <c r="C103" s="32" t="n">
        <v>583</v>
      </c>
      <c r="E103" s="32">
        <f>$F$16*C103+(1-$F$16)*(E102+F102)</f>
        <v/>
      </c>
      <c r="F103" s="32">
        <f>$F$17*(E103-E102)+(1-$F$17)*F102</f>
        <v/>
      </c>
      <c r="G103" s="32">
        <f>E102+F102</f>
        <v/>
      </c>
      <c r="H103" s="32">
        <f>C103-G103</f>
        <v/>
      </c>
      <c r="I103" s="33">
        <f>H103/C103</f>
        <v/>
      </c>
    </row>
    <row r="104">
      <c r="A104" s="42" t="n">
        <v>40148</v>
      </c>
      <c r="B104" s="43" t="n">
        <v>85</v>
      </c>
      <c r="C104" s="32" t="n"/>
      <c r="E104" s="32" t="n"/>
      <c r="F104" s="32" t="n"/>
      <c r="G104" s="32">
        <f>$E$103+(B104-$B$103)*$F$103</f>
        <v/>
      </c>
      <c r="H104" s="32" t="n"/>
      <c r="I104" s="33" t="n"/>
    </row>
    <row r="105">
      <c r="A105" s="42" t="n">
        <v>40149</v>
      </c>
      <c r="B105" s="43" t="n">
        <v>86</v>
      </c>
      <c r="C105" s="32" t="n"/>
      <c r="E105" s="32" t="n"/>
      <c r="F105" s="32" t="n"/>
      <c r="G105" s="32">
        <f>$E$103+(B105-$B$103)*$F$103</f>
        <v/>
      </c>
      <c r="H105" s="32" t="n"/>
      <c r="I105" s="33" t="n"/>
    </row>
    <row r="106">
      <c r="A106" s="42" t="n">
        <v>40150</v>
      </c>
      <c r="B106" s="43" t="n">
        <v>87</v>
      </c>
      <c r="C106" s="32" t="n"/>
      <c r="E106" s="32" t="n"/>
      <c r="F106" s="32" t="n"/>
      <c r="G106" s="32">
        <f>$E$103+(B106-$B$103)*$F$103</f>
        <v/>
      </c>
      <c r="H106" s="32" t="n"/>
      <c r="I106" s="33" t="n"/>
    </row>
    <row r="107">
      <c r="A107" s="42" t="n">
        <v>40151</v>
      </c>
      <c r="B107" s="43" t="n">
        <v>88</v>
      </c>
      <c r="C107" s="32" t="n"/>
      <c r="E107" s="32" t="n"/>
      <c r="F107" s="32" t="n"/>
      <c r="G107" s="32">
        <f>$E$103+(B107-$B$103)*$F$103</f>
        <v/>
      </c>
      <c r="H107" s="32" t="n"/>
      <c r="I107" s="33" t="n"/>
    </row>
    <row r="108">
      <c r="A108" s="42" t="n">
        <v>40154</v>
      </c>
      <c r="B108" s="43" t="n">
        <v>89</v>
      </c>
      <c r="C108" s="32" t="n"/>
      <c r="E108" s="32" t="n"/>
      <c r="F108" s="32" t="n"/>
      <c r="G108" s="32">
        <f>$E$103+(B108-$B$103)*$F$103</f>
        <v/>
      </c>
      <c r="H108" s="32" t="n"/>
      <c r="I108" s="33" t="n"/>
    </row>
    <row r="109">
      <c r="A109" s="42" t="n">
        <v>40155</v>
      </c>
      <c r="B109" s="43" t="n">
        <v>90</v>
      </c>
      <c r="C109" s="32" t="n"/>
      <c r="E109" s="32" t="n"/>
      <c r="F109" s="32" t="n"/>
      <c r="G109" s="32">
        <f>$E$103+(B109-$B$103)*$F$103</f>
        <v/>
      </c>
      <c r="H109" s="32" t="n"/>
      <c r="I109" s="33" t="n"/>
    </row>
    <row r="110">
      <c r="A110" s="42" t="n">
        <v>40156</v>
      </c>
      <c r="B110" s="43" t="n">
        <v>91</v>
      </c>
      <c r="C110" s="32" t="n"/>
      <c r="E110" s="32" t="n"/>
      <c r="F110" s="32" t="n"/>
      <c r="G110" s="32">
        <f>$E$103+(B110-$B$103)*$F$103</f>
        <v/>
      </c>
      <c r="H110" s="32" t="n"/>
      <c r="I110" s="33" t="n"/>
    </row>
    <row r="111">
      <c r="A111" s="42" t="n">
        <v>40157</v>
      </c>
      <c r="B111" s="43" t="n">
        <v>92</v>
      </c>
      <c r="C111" s="32" t="n"/>
      <c r="E111" s="32" t="n"/>
      <c r="F111" s="32" t="n"/>
      <c r="G111" s="32">
        <f>$E$103+(B111-$B$103)*$F$103</f>
        <v/>
      </c>
      <c r="H111" s="32" t="n"/>
      <c r="I111" s="33" t="n"/>
    </row>
    <row r="112">
      <c r="A112" s="42" t="n">
        <v>40158</v>
      </c>
      <c r="B112" s="43" t="n">
        <v>93</v>
      </c>
      <c r="C112" s="32" t="n"/>
      <c r="E112" s="32" t="n"/>
      <c r="F112" s="32" t="n"/>
      <c r="G112" s="32">
        <f>$E$103+(B112-$B$103)*$F$103</f>
        <v/>
      </c>
      <c r="H112" s="32" t="n"/>
      <c r="I112" s="33" t="n"/>
    </row>
    <row r="113">
      <c r="A113" s="42" t="n">
        <v>40161</v>
      </c>
      <c r="B113" s="43" t="n">
        <v>94</v>
      </c>
      <c r="C113" s="32" t="n"/>
      <c r="E113" s="32" t="n"/>
      <c r="F113" s="32" t="n"/>
      <c r="G113" s="32">
        <f>$E$103+(B113-$B$103)*$F$103</f>
        <v/>
      </c>
      <c r="H113" s="32" t="n"/>
      <c r="I113" s="33" t="n"/>
    </row>
    <row r="114">
      <c r="A114" s="42" t="n">
        <v>40162</v>
      </c>
      <c r="B114" s="43" t="n">
        <v>95</v>
      </c>
      <c r="C114" s="32" t="n"/>
      <c r="E114" s="32" t="n"/>
      <c r="F114" s="32" t="n"/>
      <c r="G114" s="32">
        <f>$E$103+(B114-$B$103)*$F$103</f>
        <v/>
      </c>
      <c r="H114" s="32" t="n"/>
      <c r="I114" s="33" t="n"/>
    </row>
    <row r="115">
      <c r="A115" s="42" t="n">
        <v>40163</v>
      </c>
      <c r="B115" s="43" t="n">
        <v>96</v>
      </c>
      <c r="C115" s="32" t="n"/>
      <c r="E115" s="32" t="n"/>
      <c r="F115" s="32" t="n"/>
      <c r="G115" s="32">
        <f>$E$103+(B115-$B$103)*$F$103</f>
        <v/>
      </c>
      <c r="H115" s="32" t="n"/>
      <c r="I115" s="33" t="n"/>
    </row>
    <row r="116">
      <c r="A116" s="42" t="n">
        <v>40164</v>
      </c>
      <c r="B116" s="43" t="n">
        <v>97</v>
      </c>
      <c r="C116" s="32" t="n"/>
      <c r="E116" s="32" t="n"/>
      <c r="F116" s="32" t="n"/>
      <c r="G116" s="32">
        <f>$E$103+(B116-$B$103)*$F$103</f>
        <v/>
      </c>
      <c r="H116" s="32" t="n"/>
      <c r="I116" s="33" t="n"/>
    </row>
    <row r="117">
      <c r="A117" s="42" t="n">
        <v>40165</v>
      </c>
      <c r="B117" s="43" t="n">
        <v>98</v>
      </c>
      <c r="C117" s="32" t="n"/>
      <c r="E117" s="32" t="n"/>
      <c r="F117" s="32" t="n"/>
      <c r="G117" s="32">
        <f>$E$103+(B117-$B$103)*$F$103</f>
        <v/>
      </c>
      <c r="H117" s="32" t="n"/>
      <c r="I117" s="33" t="n"/>
    </row>
    <row r="118">
      <c r="A118" s="42" t="n">
        <v>40168</v>
      </c>
      <c r="B118" s="43" t="n">
        <v>99</v>
      </c>
      <c r="C118" s="32" t="n"/>
      <c r="E118" s="32" t="n"/>
      <c r="F118" s="32" t="n"/>
      <c r="G118" s="32">
        <f>$E$103+(B118-$B$103)*$F$103</f>
        <v/>
      </c>
      <c r="H118" s="32" t="n"/>
      <c r="I118" s="33" t="n"/>
    </row>
    <row r="119">
      <c r="A119" s="42" t="n">
        <v>40169</v>
      </c>
      <c r="B119" s="43" t="n">
        <v>100</v>
      </c>
      <c r="C119" s="32" t="n"/>
      <c r="E119" s="32" t="n"/>
      <c r="F119" s="32" t="n"/>
      <c r="G119" s="32">
        <f>$E$103+(B119-$B$103)*$F$103</f>
        <v/>
      </c>
      <c r="H119" s="32" t="n"/>
      <c r="I119" s="33" t="n"/>
    </row>
    <row r="120">
      <c r="A120" s="42" t="n">
        <v>40170</v>
      </c>
      <c r="B120" s="43" t="n">
        <v>101</v>
      </c>
      <c r="C120" s="32" t="n"/>
      <c r="E120" s="32" t="n"/>
      <c r="F120" s="32" t="n"/>
      <c r="G120" s="32">
        <f>$E$103+(B120-$B$103)*$F$103</f>
        <v/>
      </c>
      <c r="H120" s="32" t="n"/>
      <c r="I120" s="33" t="n"/>
    </row>
    <row r="121">
      <c r="A121" s="42" t="n">
        <v>40171</v>
      </c>
      <c r="B121" s="43" t="n">
        <v>102</v>
      </c>
      <c r="C121" s="32" t="n"/>
      <c r="E121" s="32" t="n"/>
      <c r="F121" s="32" t="n"/>
      <c r="G121" s="32">
        <f>$E$103+(B121-$B$103)*$F$103</f>
        <v/>
      </c>
      <c r="H121" s="32" t="n"/>
      <c r="I121" s="33" t="n"/>
    </row>
    <row r="122">
      <c r="A122" s="42" t="n">
        <v>40175</v>
      </c>
      <c r="B122" s="43" t="n">
        <v>103</v>
      </c>
      <c r="C122" s="32" t="n"/>
      <c r="E122" s="32" t="n"/>
      <c r="F122" s="32" t="n"/>
      <c r="G122" s="32">
        <f>$E$103+(B122-$B$103)*$F$103</f>
        <v/>
      </c>
      <c r="H122" s="32" t="n"/>
      <c r="I122" s="33" t="n"/>
    </row>
    <row r="123">
      <c r="A123" s="42" t="n">
        <v>40176</v>
      </c>
      <c r="B123" s="43" t="n">
        <v>104</v>
      </c>
      <c r="C123" s="32" t="n"/>
      <c r="E123" s="32" t="n"/>
      <c r="F123" s="32" t="n"/>
      <c r="G123" s="32">
        <f>$E$103+(B123-$B$103)*$F$103</f>
        <v/>
      </c>
      <c r="H123" s="32" t="n"/>
      <c r="I123" s="33" t="n"/>
    </row>
    <row r="124">
      <c r="A124" s="42" t="n">
        <v>40177</v>
      </c>
      <c r="B124" s="43" t="n">
        <v>105</v>
      </c>
      <c r="C124" s="32" t="n"/>
      <c r="E124" s="32" t="n"/>
      <c r="F124" s="32" t="n"/>
      <c r="G124" s="32">
        <f>$E$103+(B124-$B$103)*$F$103</f>
        <v/>
      </c>
      <c r="H124" s="32" t="n"/>
      <c r="I124" s="3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Alexandre Pignanelli</dc:creator>
  <dcterms:created xsi:type="dcterms:W3CDTF">2014-02-25T13:29:07Z</dcterms:created>
  <dcterms:modified xsi:type="dcterms:W3CDTF">2026-08-31T15:30:07Z</dcterms:modified>
  <cp:lastModifiedBy>Alexandre Pignanelli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84f7750d-9cdf-4ba7-80aa-2c6ffdc35229_Enabled" fmtid="{D5CDD505-2E9C-101B-9397-08002B2CF9AE}" pid="2">
    <vt:lpwstr>true</vt:lpwstr>
  </property>
  <property name="MSIP_Label_84f7750d-9cdf-4ba7-80aa-2c6ffdc35229_SetDate" fmtid="{D5CDD505-2E9C-101B-9397-08002B2CF9AE}" pid="3">
    <vt:lpwstr>2026-07-23T22:42:29Z</vt:lpwstr>
  </property>
  <property name="MSIP_Label_84f7750d-9cdf-4ba7-80aa-2c6ffdc35229_Method" fmtid="{D5CDD505-2E9C-101B-9397-08002B2CF9AE}" pid="4">
    <vt:lpwstr>Standard</vt:lpwstr>
  </property>
  <property name="MSIP_Label_84f7750d-9cdf-4ba7-80aa-2c6ffdc35229_Name" fmtid="{D5CDD505-2E9C-101B-9397-08002B2CF9AE}" pid="5">
    <vt:lpwstr>Nível - 1</vt:lpwstr>
  </property>
  <property name="MSIP_Label_84f7750d-9cdf-4ba7-80aa-2c6ffdc35229_SiteId" fmtid="{D5CDD505-2E9C-101B-9397-08002B2CF9AE}" pid="6">
    <vt:lpwstr>79f6b639-ab12-4280-8077-bdbeef869b33</vt:lpwstr>
  </property>
  <property name="MSIP_Label_84f7750d-9cdf-4ba7-80aa-2c6ffdc35229_ActionId" fmtid="{D5CDD505-2E9C-101B-9397-08002B2CF9AE}" pid="7">
    <vt:lpwstr>83c2ca5c-65c0-4af4-a851-b960bd7dcef3</vt:lpwstr>
  </property>
  <property name="MSIP_Label_84f7750d-9cdf-4ba7-80aa-2c6ffdc35229_ContentBits" fmtid="{D5CDD505-2E9C-101B-9397-08002B2CF9AE}" pid="8">
    <vt:lpwstr>0</vt:lpwstr>
  </property>
  <property name="MSIP_Label_84f7750d-9cdf-4ba7-80aa-2c6ffdc35229_Tag" fmtid="{D5CDD505-2E9C-101B-9397-08002B2CF9AE}" pid="9">
    <vt:lpwstr>50, 3, 0, 1</vt:lpwstr>
  </property>
</Properties>
</file>